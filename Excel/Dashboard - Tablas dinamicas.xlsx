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cm-\Desktop\CURSOS\Curso Excel - Sena\"/>
    </mc:Choice>
  </mc:AlternateContent>
  <xr:revisionPtr revIDLastSave="0" documentId="13_ncr:1_{A8014948-5C5F-452F-9FF7-A5BE5114130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ase de Datos" sheetId="1" r:id="rId1"/>
    <sheet name="TablasDinamicas" sheetId="4" r:id="rId2"/>
    <sheet name="Dashboard" sheetId="5" r:id="rId3"/>
  </sheets>
  <definedNames>
    <definedName name="_xlchart.v5.0" hidden="1">TablasDinamicas!$N$21</definedName>
    <definedName name="_xlchart.v5.1" hidden="1">TablasDinamicas!$N$22:$N$31</definedName>
    <definedName name="_xlchart.v5.2" hidden="1">TablasDinamicas!$O$21</definedName>
    <definedName name="_xlchart.v5.3" hidden="1">TablasDinamicas!$O$22:$O$31</definedName>
    <definedName name="_xlchart.v5.4" hidden="1">TablasDinamicas!$N$21</definedName>
    <definedName name="_xlchart.v5.5" hidden="1">TablasDinamicas!$N$22:$N$31</definedName>
    <definedName name="_xlchart.v5.6" hidden="1">TablasDinamicas!$O$21</definedName>
    <definedName name="_xlchart.v5.7" hidden="1">TablasDinamicas!$O$22:$O$31</definedName>
    <definedName name="NativeTimeline_Fecha_de_Orden">#N/A</definedName>
    <definedName name="SegmentaciónDeDatos_Categoría">#N/A</definedName>
    <definedName name="SegmentaciónDeDatos_Nombre_de_Cliente">#N/A</definedName>
    <definedName name="SegmentaciónDeDatos_Regió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4" l="1"/>
  <c r="O30" i="4"/>
  <c r="O29" i="4"/>
  <c r="O28" i="4"/>
  <c r="O27" i="4"/>
  <c r="O26" i="4"/>
  <c r="O25" i="4"/>
  <c r="O24" i="4"/>
  <c r="O23" i="4"/>
  <c r="O22" i="4"/>
</calcChain>
</file>

<file path=xl/sharedStrings.xml><?xml version="1.0" encoding="utf-8"?>
<sst xmlns="http://schemas.openxmlformats.org/spreadsheetml/2006/main" count="2290" uniqueCount="688">
  <si>
    <t>Folio</t>
  </si>
  <si>
    <t>Fecha de Orden</t>
  </si>
  <si>
    <t>Núm. Cliente</t>
  </si>
  <si>
    <t>Nombre de Cliente</t>
  </si>
  <si>
    <t>Ciudad</t>
  </si>
  <si>
    <t>Departamento</t>
  </si>
  <si>
    <t>Vendedor</t>
  </si>
  <si>
    <t>Región</t>
  </si>
  <si>
    <t>Fecha de Entrega</t>
  </si>
  <si>
    <t>Transportadora</t>
  </si>
  <si>
    <t>Forma de Pago</t>
  </si>
  <si>
    <t>Nombre del Producto</t>
  </si>
  <si>
    <t>Categoría</t>
  </si>
  <si>
    <t>Precio Unitario</t>
  </si>
  <si>
    <t>Cantidad</t>
  </si>
  <si>
    <t>Ingreso Total</t>
  </si>
  <si>
    <t>FO-0001</t>
  </si>
  <si>
    <t>CL-0001</t>
  </si>
  <si>
    <t>Juan Valdez</t>
  </si>
  <si>
    <t>Barranquilla</t>
  </si>
  <si>
    <t>Risaralda</t>
  </si>
  <si>
    <t>V-719</t>
  </si>
  <si>
    <t>Sur</t>
  </si>
  <si>
    <t>Coordinadora</t>
  </si>
  <si>
    <t>Nequi</t>
  </si>
  <si>
    <t>Aceite</t>
  </si>
  <si>
    <t>Aceites</t>
  </si>
  <si>
    <t>FO-0002</t>
  </si>
  <si>
    <t>CL-0002</t>
  </si>
  <si>
    <t>Postobón</t>
  </si>
  <si>
    <t>Cartagena</t>
  </si>
  <si>
    <t>Santander</t>
  </si>
  <si>
    <t>V-221</t>
  </si>
  <si>
    <t>Este</t>
  </si>
  <si>
    <t>Envía</t>
  </si>
  <si>
    <t>Papa</t>
  </si>
  <si>
    <t>Verduras</t>
  </si>
  <si>
    <t>FO-0003</t>
  </si>
  <si>
    <t>CL-0003</t>
  </si>
  <si>
    <t>Sura</t>
  </si>
  <si>
    <t>Pereira</t>
  </si>
  <si>
    <t>Valle del Cauca</t>
  </si>
  <si>
    <t>V-638</t>
  </si>
  <si>
    <t>Norte</t>
  </si>
  <si>
    <t>Cheque</t>
  </si>
  <si>
    <t>Azúcar</t>
  </si>
  <si>
    <t>Dulces</t>
  </si>
  <si>
    <t>FO-0004</t>
  </si>
  <si>
    <t>CL-0004</t>
  </si>
  <si>
    <t>Bogotá</t>
  </si>
  <si>
    <t>Norte de Santander</t>
  </si>
  <si>
    <t>V-485</t>
  </si>
  <si>
    <t>Leche</t>
  </si>
  <si>
    <t>Lácteos</t>
  </si>
  <si>
    <t>FO-0005</t>
  </si>
  <si>
    <t>CL-0005</t>
  </si>
  <si>
    <t>Arturo Calle</t>
  </si>
  <si>
    <t>Bolívar</t>
  </si>
  <si>
    <t>V-295</t>
  </si>
  <si>
    <t>Deprisa</t>
  </si>
  <si>
    <t>Crédito</t>
  </si>
  <si>
    <t>Café</t>
  </si>
  <si>
    <t>Bebidas</t>
  </si>
  <si>
    <t>FO-0006</t>
  </si>
  <si>
    <t>CL-0006</t>
  </si>
  <si>
    <t>Medellín</t>
  </si>
  <si>
    <t>Caldas</t>
  </si>
  <si>
    <t>V-895</t>
  </si>
  <si>
    <t>Oeste</t>
  </si>
  <si>
    <t>Efectivo</t>
  </si>
  <si>
    <t>Frijoles</t>
  </si>
  <si>
    <t>Granos</t>
  </si>
  <si>
    <t>FO-0007</t>
  </si>
  <si>
    <t>CL-0007</t>
  </si>
  <si>
    <t>Bavaria</t>
  </si>
  <si>
    <t>Antioquia</t>
  </si>
  <si>
    <t>V-361</t>
  </si>
  <si>
    <t>Servientrega</t>
  </si>
  <si>
    <t>Pasta</t>
  </si>
  <si>
    <t>FO-0008</t>
  </si>
  <si>
    <t>CL-0008</t>
  </si>
  <si>
    <t>V-768</t>
  </si>
  <si>
    <t>FO-0009</t>
  </si>
  <si>
    <t>CL-0009</t>
  </si>
  <si>
    <t>Alpina</t>
  </si>
  <si>
    <t>Manizales</t>
  </si>
  <si>
    <t>V-778</t>
  </si>
  <si>
    <t>Pollo</t>
  </si>
  <si>
    <t>Carnes</t>
  </si>
  <si>
    <t>FO-0010</t>
  </si>
  <si>
    <t>CL-0010</t>
  </si>
  <si>
    <t>Nutresa</t>
  </si>
  <si>
    <t>V-994</t>
  </si>
  <si>
    <t>Sal</t>
  </si>
  <si>
    <t>Condimentos</t>
  </si>
  <si>
    <t>FO-0011</t>
  </si>
  <si>
    <t>CL-0011</t>
  </si>
  <si>
    <t>Cúcuta</t>
  </si>
  <si>
    <t>V-672</t>
  </si>
  <si>
    <t>FO-0012</t>
  </si>
  <si>
    <t>CL-0012</t>
  </si>
  <si>
    <t>V-288</t>
  </si>
  <si>
    <t>FO-0013</t>
  </si>
  <si>
    <t>CL-0013</t>
  </si>
  <si>
    <t>V-215</t>
  </si>
  <si>
    <t>FO-0014</t>
  </si>
  <si>
    <t>CL-0014</t>
  </si>
  <si>
    <t>Santa Marta</t>
  </si>
  <si>
    <t>Atlántico</t>
  </si>
  <si>
    <t>V-466</t>
  </si>
  <si>
    <t>Huevos</t>
  </si>
  <si>
    <t>Proteínas</t>
  </si>
  <si>
    <t>FO-0015</t>
  </si>
  <si>
    <t>CL-0015</t>
  </si>
  <si>
    <t>Cali</t>
  </si>
  <si>
    <t>V-801</t>
  </si>
  <si>
    <t>FO-0016</t>
  </si>
  <si>
    <t>CL-0016</t>
  </si>
  <si>
    <t>V-360</t>
  </si>
  <si>
    <t>FO-0017</t>
  </si>
  <si>
    <t>CL-0017</t>
  </si>
  <si>
    <t>V-592</t>
  </si>
  <si>
    <t>TCC</t>
  </si>
  <si>
    <t>FO-0018</t>
  </si>
  <si>
    <t>CL-0018</t>
  </si>
  <si>
    <t>V-598</t>
  </si>
  <si>
    <t>FO-0019</t>
  </si>
  <si>
    <t>CL-0019</t>
  </si>
  <si>
    <t>V-806</t>
  </si>
  <si>
    <t>Carne de res</t>
  </si>
  <si>
    <t>FO-0020</t>
  </si>
  <si>
    <t>CL-0020</t>
  </si>
  <si>
    <t>V-988</t>
  </si>
  <si>
    <t>FO-0021</t>
  </si>
  <si>
    <t>CL-0021</t>
  </si>
  <si>
    <t>V-863</t>
  </si>
  <si>
    <t>FO-0022</t>
  </si>
  <si>
    <t>CL-0022</t>
  </si>
  <si>
    <t>V-923</t>
  </si>
  <si>
    <t>Pan</t>
  </si>
  <si>
    <t>Panadería</t>
  </si>
  <si>
    <t>FO-0023</t>
  </si>
  <si>
    <t>CL-0023</t>
  </si>
  <si>
    <t>V-555</t>
  </si>
  <si>
    <t>FO-0024</t>
  </si>
  <si>
    <t>CL-0024</t>
  </si>
  <si>
    <t>V-375</t>
  </si>
  <si>
    <t>Arroz</t>
  </si>
  <si>
    <t>FO-0025</t>
  </si>
  <si>
    <t>CL-0025</t>
  </si>
  <si>
    <t>Cundinamarca</t>
  </si>
  <si>
    <t>V-580</t>
  </si>
  <si>
    <t>FO-0026</t>
  </si>
  <si>
    <t>CL-0026</t>
  </si>
  <si>
    <t>V-159</t>
  </si>
  <si>
    <t>FO-0027</t>
  </si>
  <si>
    <t>CL-0027</t>
  </si>
  <si>
    <t>Colombina</t>
  </si>
  <si>
    <t>V-769</t>
  </si>
  <si>
    <t>FO-0028</t>
  </si>
  <si>
    <t>CL-0028</t>
  </si>
  <si>
    <t>V-698</t>
  </si>
  <si>
    <t>FO-0029</t>
  </si>
  <si>
    <t>CL-0029</t>
  </si>
  <si>
    <t>Ramo</t>
  </si>
  <si>
    <t>V-223</t>
  </si>
  <si>
    <t>FO-0030</t>
  </si>
  <si>
    <t>CL-0030</t>
  </si>
  <si>
    <t>Magdalena</t>
  </si>
  <si>
    <t>V-114</t>
  </si>
  <si>
    <t>FO-0031</t>
  </si>
  <si>
    <t>CL-0031</t>
  </si>
  <si>
    <t>V-450</t>
  </si>
  <si>
    <t>FO-0032</t>
  </si>
  <si>
    <t>CL-0032</t>
  </si>
  <si>
    <t>V-289</t>
  </si>
  <si>
    <t>FO-0033</t>
  </si>
  <si>
    <t>CL-0033</t>
  </si>
  <si>
    <t>V-115</t>
  </si>
  <si>
    <t>FO-0034</t>
  </si>
  <si>
    <t>CL-0034</t>
  </si>
  <si>
    <t>V-496</t>
  </si>
  <si>
    <t>FO-0035</t>
  </si>
  <si>
    <t>CL-0035</t>
  </si>
  <si>
    <t>V-886</t>
  </si>
  <si>
    <t>FO-0036</t>
  </si>
  <si>
    <t>CL-0036</t>
  </si>
  <si>
    <t>V-217</t>
  </si>
  <si>
    <t>FO-0037</t>
  </si>
  <si>
    <t>CL-0037</t>
  </si>
  <si>
    <t>Grupo Éxito</t>
  </si>
  <si>
    <t>V-293</t>
  </si>
  <si>
    <t>FO-0038</t>
  </si>
  <si>
    <t>CL-0038</t>
  </si>
  <si>
    <t>V-543</t>
  </si>
  <si>
    <t>FO-0039</t>
  </si>
  <si>
    <t>CL-0039</t>
  </si>
  <si>
    <t>Bucaramanga</t>
  </si>
  <si>
    <t>V-613</t>
  </si>
  <si>
    <t>FO-0040</t>
  </si>
  <si>
    <t>CL-0040</t>
  </si>
  <si>
    <t>V-242</t>
  </si>
  <si>
    <t>FO-0041</t>
  </si>
  <si>
    <t>CL-0041</t>
  </si>
  <si>
    <t>FO-0042</t>
  </si>
  <si>
    <t>CL-0042</t>
  </si>
  <si>
    <t>V-872</t>
  </si>
  <si>
    <t>FO-0043</t>
  </si>
  <si>
    <t>CL-0043</t>
  </si>
  <si>
    <t>V-426</t>
  </si>
  <si>
    <t>Arepas</t>
  </si>
  <si>
    <t>FO-0044</t>
  </si>
  <si>
    <t>CL-0044</t>
  </si>
  <si>
    <t>V-811</t>
  </si>
  <si>
    <t>FO-0045</t>
  </si>
  <si>
    <t>CL-0045</t>
  </si>
  <si>
    <t>V-234</t>
  </si>
  <si>
    <t>FO-0046</t>
  </si>
  <si>
    <t>CL-0046</t>
  </si>
  <si>
    <t>V-655</t>
  </si>
  <si>
    <t>FO-0047</t>
  </si>
  <si>
    <t>CL-0047</t>
  </si>
  <si>
    <t>V-628</t>
  </si>
  <si>
    <t>FO-0048</t>
  </si>
  <si>
    <t>CL-0048</t>
  </si>
  <si>
    <t>V-489</t>
  </si>
  <si>
    <t>FO-0049</t>
  </si>
  <si>
    <t>CL-0049</t>
  </si>
  <si>
    <t>V-550</t>
  </si>
  <si>
    <t>FO-0050</t>
  </si>
  <si>
    <t>CL-0050</t>
  </si>
  <si>
    <t>V-230</t>
  </si>
  <si>
    <t>FO-0051</t>
  </si>
  <si>
    <t>CL-0051</t>
  </si>
  <si>
    <t>V-136</t>
  </si>
  <si>
    <t>FO-0052</t>
  </si>
  <si>
    <t>CL-0052</t>
  </si>
  <si>
    <t>V-888</t>
  </si>
  <si>
    <t>FO-0053</t>
  </si>
  <si>
    <t>CL-0053</t>
  </si>
  <si>
    <t>V-634</t>
  </si>
  <si>
    <t>FO-0054</t>
  </si>
  <si>
    <t>CL-0054</t>
  </si>
  <si>
    <t>V-889</t>
  </si>
  <si>
    <t>FO-0055</t>
  </si>
  <si>
    <t>CL-0055</t>
  </si>
  <si>
    <t>V-142</t>
  </si>
  <si>
    <t>FO-0056</t>
  </si>
  <si>
    <t>CL-0056</t>
  </si>
  <si>
    <t>V-274</t>
  </si>
  <si>
    <t>Tomate</t>
  </si>
  <si>
    <t>FO-0057</t>
  </si>
  <si>
    <t>CL-0057</t>
  </si>
  <si>
    <t>V-777</t>
  </si>
  <si>
    <t>FO-0058</t>
  </si>
  <si>
    <t>CL-0058</t>
  </si>
  <si>
    <t>V-921</t>
  </si>
  <si>
    <t>FO-0059</t>
  </si>
  <si>
    <t>CL-0059</t>
  </si>
  <si>
    <t>V-876</t>
  </si>
  <si>
    <t>FO-0060</t>
  </si>
  <si>
    <t>CL-0060</t>
  </si>
  <si>
    <t>V-843</t>
  </si>
  <si>
    <t>FO-0061</t>
  </si>
  <si>
    <t>CL-0061</t>
  </si>
  <si>
    <t>V-302</t>
  </si>
  <si>
    <t>FO-0062</t>
  </si>
  <si>
    <t>CL-0062</t>
  </si>
  <si>
    <t>V-984</t>
  </si>
  <si>
    <t>FO-0063</t>
  </si>
  <si>
    <t>CL-0063</t>
  </si>
  <si>
    <t>FO-0064</t>
  </si>
  <si>
    <t>CL-0064</t>
  </si>
  <si>
    <t>V-654</t>
  </si>
  <si>
    <t>FO-0065</t>
  </si>
  <si>
    <t>CL-0065</t>
  </si>
  <si>
    <t>V-488</t>
  </si>
  <si>
    <t>FO-0066</t>
  </si>
  <si>
    <t>CL-0066</t>
  </si>
  <si>
    <t>V-265</t>
  </si>
  <si>
    <t>FO-0067</t>
  </si>
  <si>
    <t>CL-0067</t>
  </si>
  <si>
    <t>V-693</t>
  </si>
  <si>
    <t>FO-0068</t>
  </si>
  <si>
    <t>CL-0068</t>
  </si>
  <si>
    <t>V-357</t>
  </si>
  <si>
    <t>FO-0069</t>
  </si>
  <si>
    <t>CL-0069</t>
  </si>
  <si>
    <t>V-728</t>
  </si>
  <si>
    <t>FO-0070</t>
  </si>
  <si>
    <t>CL-0070</t>
  </si>
  <si>
    <t>V-401</t>
  </si>
  <si>
    <t>FO-0071</t>
  </si>
  <si>
    <t>CL-0071</t>
  </si>
  <si>
    <t>V-212</t>
  </si>
  <si>
    <t>FO-0072</t>
  </si>
  <si>
    <t>CL-0072</t>
  </si>
  <si>
    <t>V-519</t>
  </si>
  <si>
    <t>FO-0073</t>
  </si>
  <si>
    <t>CL-0073</t>
  </si>
  <si>
    <t>V-705</t>
  </si>
  <si>
    <t>FO-0074</t>
  </si>
  <si>
    <t>CL-0074</t>
  </si>
  <si>
    <t>V-113</t>
  </si>
  <si>
    <t>FO-0075</t>
  </si>
  <si>
    <t>CL-0075</t>
  </si>
  <si>
    <t>V-331</t>
  </si>
  <si>
    <t>FO-0076</t>
  </si>
  <si>
    <t>CL-0076</t>
  </si>
  <si>
    <t>V-509</t>
  </si>
  <si>
    <t>FO-0077</t>
  </si>
  <si>
    <t>CL-0077</t>
  </si>
  <si>
    <t>V-399</t>
  </si>
  <si>
    <t>FO-0078</t>
  </si>
  <si>
    <t>CL-0078</t>
  </si>
  <si>
    <t>V-800</t>
  </si>
  <si>
    <t>FO-0079</t>
  </si>
  <si>
    <t>CL-0079</t>
  </si>
  <si>
    <t>V-933</t>
  </si>
  <si>
    <t>FO-0080</t>
  </si>
  <si>
    <t>CL-0080</t>
  </si>
  <si>
    <t>V-767</t>
  </si>
  <si>
    <t>FO-0081</t>
  </si>
  <si>
    <t>CL-0081</t>
  </si>
  <si>
    <t>FO-0082</t>
  </si>
  <si>
    <t>CL-0082</t>
  </si>
  <si>
    <t>V-220</t>
  </si>
  <si>
    <t>FO-0083</t>
  </si>
  <si>
    <t>CL-0083</t>
  </si>
  <si>
    <t>V-137</t>
  </si>
  <si>
    <t>FO-0084</t>
  </si>
  <si>
    <t>CL-0084</t>
  </si>
  <si>
    <t>V-257</t>
  </si>
  <si>
    <t>FO-0085</t>
  </si>
  <si>
    <t>CL-0085</t>
  </si>
  <si>
    <t>V-558</t>
  </si>
  <si>
    <t>FO-0086</t>
  </si>
  <si>
    <t>CL-0086</t>
  </si>
  <si>
    <t>FO-0087</t>
  </si>
  <si>
    <t>CL-0087</t>
  </si>
  <si>
    <t>V-689</t>
  </si>
  <si>
    <t>FO-0088</t>
  </si>
  <si>
    <t>CL-0088</t>
  </si>
  <si>
    <t>V-893</t>
  </si>
  <si>
    <t>FO-0089</t>
  </si>
  <si>
    <t>CL-0089</t>
  </si>
  <si>
    <t>V-476</t>
  </si>
  <si>
    <t>FO-0090</t>
  </si>
  <si>
    <t>CL-0090</t>
  </si>
  <si>
    <t>V-569</t>
  </si>
  <si>
    <t>FO-0091</t>
  </si>
  <si>
    <t>CL-0091</t>
  </si>
  <si>
    <t>V-105</t>
  </si>
  <si>
    <t>FO-0092</t>
  </si>
  <si>
    <t>CL-0092</t>
  </si>
  <si>
    <t>V-765</t>
  </si>
  <si>
    <t>FO-0093</t>
  </si>
  <si>
    <t>CL-0093</t>
  </si>
  <si>
    <t>V-307</t>
  </si>
  <si>
    <t>FO-0094</t>
  </si>
  <si>
    <t>CL-0094</t>
  </si>
  <si>
    <t>V-938</t>
  </si>
  <si>
    <t>FO-0095</t>
  </si>
  <si>
    <t>CL-0095</t>
  </si>
  <si>
    <t>V-467</t>
  </si>
  <si>
    <t>FO-0096</t>
  </si>
  <si>
    <t>CL-0096</t>
  </si>
  <si>
    <t>V-860</t>
  </si>
  <si>
    <t>FO-0097</t>
  </si>
  <si>
    <t>CL-0097</t>
  </si>
  <si>
    <t>V-741</t>
  </si>
  <si>
    <t>FO-0098</t>
  </si>
  <si>
    <t>CL-0098</t>
  </si>
  <si>
    <t>V-772</t>
  </si>
  <si>
    <t>FO-0099</t>
  </si>
  <si>
    <t>CL-0099</t>
  </si>
  <si>
    <t>V-677</t>
  </si>
  <si>
    <t>FO-0100</t>
  </si>
  <si>
    <t>CL-0100</t>
  </si>
  <si>
    <t>V-290</t>
  </si>
  <si>
    <t>FO-0101</t>
  </si>
  <si>
    <t>CL-0101</t>
  </si>
  <si>
    <t>V-662</t>
  </si>
  <si>
    <t>FO-0102</t>
  </si>
  <si>
    <t>CL-0102</t>
  </si>
  <si>
    <t>V-174</t>
  </si>
  <si>
    <t>FO-0103</t>
  </si>
  <si>
    <t>CL-0103</t>
  </si>
  <si>
    <t>V-939</t>
  </si>
  <si>
    <t>FO-0104</t>
  </si>
  <si>
    <t>CL-0104</t>
  </si>
  <si>
    <t>V-802</t>
  </si>
  <si>
    <t>FO-0105</t>
  </si>
  <si>
    <t>CL-0105</t>
  </si>
  <si>
    <t>V-203</t>
  </si>
  <si>
    <t>FO-0106</t>
  </si>
  <si>
    <t>CL-0106</t>
  </si>
  <si>
    <t>FO-0107</t>
  </si>
  <si>
    <t>CL-0107</t>
  </si>
  <si>
    <t>V-280</t>
  </si>
  <si>
    <t>FO-0108</t>
  </si>
  <si>
    <t>CL-0108</t>
  </si>
  <si>
    <t>V-352</t>
  </si>
  <si>
    <t>FO-0109</t>
  </si>
  <si>
    <t>CL-0109</t>
  </si>
  <si>
    <t>V-434</t>
  </si>
  <si>
    <t>FO-0110</t>
  </si>
  <si>
    <t>CL-0110</t>
  </si>
  <si>
    <t>V-315</t>
  </si>
  <si>
    <t>FO-0111</t>
  </si>
  <si>
    <t>CL-0111</t>
  </si>
  <si>
    <t>FO-0112</t>
  </si>
  <si>
    <t>CL-0112</t>
  </si>
  <si>
    <t>V-809</t>
  </si>
  <si>
    <t>FO-0113</t>
  </si>
  <si>
    <t>CL-0113</t>
  </si>
  <si>
    <t>V-471</t>
  </si>
  <si>
    <t>FO-0114</t>
  </si>
  <si>
    <t>CL-0114</t>
  </si>
  <si>
    <t>V-588</t>
  </si>
  <si>
    <t>FO-0115</t>
  </si>
  <si>
    <t>CL-0115</t>
  </si>
  <si>
    <t>V-678</t>
  </si>
  <si>
    <t>FO-0116</t>
  </si>
  <si>
    <t>CL-0116</t>
  </si>
  <si>
    <t>V-335</t>
  </si>
  <si>
    <t>FO-0117</t>
  </si>
  <si>
    <t>CL-0117</t>
  </si>
  <si>
    <t>V-185</t>
  </si>
  <si>
    <t>FO-0118</t>
  </si>
  <si>
    <t>CL-0118</t>
  </si>
  <si>
    <t>V-620</t>
  </si>
  <si>
    <t>FO-0119</t>
  </si>
  <si>
    <t>CL-0119</t>
  </si>
  <si>
    <t>V-587</t>
  </si>
  <si>
    <t>FO-0120</t>
  </si>
  <si>
    <t>CL-0120</t>
  </si>
  <si>
    <t>V-472</t>
  </si>
  <si>
    <t>FO-0121</t>
  </si>
  <si>
    <t>CL-0121</t>
  </si>
  <si>
    <t>V-339</t>
  </si>
  <si>
    <t>FO-0122</t>
  </si>
  <si>
    <t>CL-0122</t>
  </si>
  <si>
    <t>V-739</t>
  </si>
  <si>
    <t>FO-0123</t>
  </si>
  <si>
    <t>CL-0123</t>
  </si>
  <si>
    <t>V-722</t>
  </si>
  <si>
    <t>FO-0124</t>
  </si>
  <si>
    <t>CL-0124</t>
  </si>
  <si>
    <t>V-637</t>
  </si>
  <si>
    <t>FO-0125</t>
  </si>
  <si>
    <t>CL-0125</t>
  </si>
  <si>
    <t>FO-0126</t>
  </si>
  <si>
    <t>CL-0126</t>
  </si>
  <si>
    <t>V-297</t>
  </si>
  <si>
    <t>FO-0127</t>
  </si>
  <si>
    <t>CL-0127</t>
  </si>
  <si>
    <t>V-449</t>
  </si>
  <si>
    <t>FO-0128</t>
  </si>
  <si>
    <t>CL-0128</t>
  </si>
  <si>
    <t>V-878</t>
  </si>
  <si>
    <t>FO-0129</t>
  </si>
  <si>
    <t>CL-0129</t>
  </si>
  <si>
    <t>V-983</t>
  </si>
  <si>
    <t>FO-0130</t>
  </si>
  <si>
    <t>CL-0130</t>
  </si>
  <si>
    <t>V-173</t>
  </si>
  <si>
    <t>FO-0131</t>
  </si>
  <si>
    <t>CL-0131</t>
  </si>
  <si>
    <t>V-538</t>
  </si>
  <si>
    <t>FO-0132</t>
  </si>
  <si>
    <t>CL-0132</t>
  </si>
  <si>
    <t>V-679</t>
  </si>
  <si>
    <t>FO-0133</t>
  </si>
  <si>
    <t>CL-0133</t>
  </si>
  <si>
    <t>V-440</t>
  </si>
  <si>
    <t>FO-0134</t>
  </si>
  <si>
    <t>CL-0134</t>
  </si>
  <si>
    <t>V-107</t>
  </si>
  <si>
    <t>FO-0135</t>
  </si>
  <si>
    <t>CL-0135</t>
  </si>
  <si>
    <t>V-704</t>
  </si>
  <si>
    <t>FO-0136</t>
  </si>
  <si>
    <t>CL-0136</t>
  </si>
  <si>
    <t>FO-0137</t>
  </si>
  <si>
    <t>CL-0137</t>
  </si>
  <si>
    <t>V-607</t>
  </si>
  <si>
    <t>FO-0138</t>
  </si>
  <si>
    <t>CL-0138</t>
  </si>
  <si>
    <t>V-857</t>
  </si>
  <si>
    <t>FO-0139</t>
  </si>
  <si>
    <t>CL-0139</t>
  </si>
  <si>
    <t>V-626</t>
  </si>
  <si>
    <t>FO-0140</t>
  </si>
  <si>
    <t>CL-0140</t>
  </si>
  <si>
    <t>V-742</t>
  </si>
  <si>
    <t>FO-0141</t>
  </si>
  <si>
    <t>CL-0141</t>
  </si>
  <si>
    <t>V-978</t>
  </si>
  <si>
    <t>FO-0142</t>
  </si>
  <si>
    <t>CL-0142</t>
  </si>
  <si>
    <t>FO-0143</t>
  </si>
  <si>
    <t>CL-0143</t>
  </si>
  <si>
    <t>V-285</t>
  </si>
  <si>
    <t>FO-0144</t>
  </si>
  <si>
    <t>CL-0144</t>
  </si>
  <si>
    <t>V-701</t>
  </si>
  <si>
    <t>FO-0145</t>
  </si>
  <si>
    <t>CL-0145</t>
  </si>
  <si>
    <t>V-419</t>
  </si>
  <si>
    <t>FO-0146</t>
  </si>
  <si>
    <t>CL-0146</t>
  </si>
  <si>
    <t>V-673</t>
  </si>
  <si>
    <t>FO-0147</t>
  </si>
  <si>
    <t>CL-0147</t>
  </si>
  <si>
    <t>V-342</t>
  </si>
  <si>
    <t>FO-0148</t>
  </si>
  <si>
    <t>CL-0148</t>
  </si>
  <si>
    <t>V-623</t>
  </si>
  <si>
    <t>FO-0149</t>
  </si>
  <si>
    <t>CL-0149</t>
  </si>
  <si>
    <t>FO-0150</t>
  </si>
  <si>
    <t>CL-0150</t>
  </si>
  <si>
    <t>V-520</t>
  </si>
  <si>
    <t>FO-0151</t>
  </si>
  <si>
    <t>CL-0151</t>
  </si>
  <si>
    <t>V-261</t>
  </si>
  <si>
    <t>FO-0152</t>
  </si>
  <si>
    <t>CL-0152</t>
  </si>
  <si>
    <t>V-457</t>
  </si>
  <si>
    <t>FO-0153</t>
  </si>
  <si>
    <t>CL-0153</t>
  </si>
  <si>
    <t>V-170</t>
  </si>
  <si>
    <t>FO-0154</t>
  </si>
  <si>
    <t>CL-0154</t>
  </si>
  <si>
    <t>V-982</t>
  </si>
  <si>
    <t>FO-0155</t>
  </si>
  <si>
    <t>CL-0155</t>
  </si>
  <si>
    <t>V-284</t>
  </si>
  <si>
    <t>FO-0156</t>
  </si>
  <si>
    <t>CL-0156</t>
  </si>
  <si>
    <t>FO-0157</t>
  </si>
  <si>
    <t>CL-0157</t>
  </si>
  <si>
    <t>V-838</t>
  </si>
  <si>
    <t>FO-0158</t>
  </si>
  <si>
    <t>CL-0158</t>
  </si>
  <si>
    <t>V-323</t>
  </si>
  <si>
    <t>FO-0159</t>
  </si>
  <si>
    <t>CL-0159</t>
  </si>
  <si>
    <t>V-651</t>
  </si>
  <si>
    <t>FO-0160</t>
  </si>
  <si>
    <t>CL-0160</t>
  </si>
  <si>
    <t>V-616</t>
  </si>
  <si>
    <t>FO-0161</t>
  </si>
  <si>
    <t>CL-0161</t>
  </si>
  <si>
    <t>V-402</t>
  </si>
  <si>
    <t>FO-0162</t>
  </si>
  <si>
    <t>CL-0162</t>
  </si>
  <si>
    <t>V-826</t>
  </si>
  <si>
    <t>FO-0163</t>
  </si>
  <si>
    <t>CL-0163</t>
  </si>
  <si>
    <t>V-150</t>
  </si>
  <si>
    <t>FO-0164</t>
  </si>
  <si>
    <t>CL-0164</t>
  </si>
  <si>
    <t>V-603</t>
  </si>
  <si>
    <t>FO-0165</t>
  </si>
  <si>
    <t>CL-0165</t>
  </si>
  <si>
    <t>V-665</t>
  </si>
  <si>
    <t>FO-0166</t>
  </si>
  <si>
    <t>CL-0166</t>
  </si>
  <si>
    <t>FO-0167</t>
  </si>
  <si>
    <t>CL-0167</t>
  </si>
  <si>
    <t>V-681</t>
  </si>
  <si>
    <t>FO-0168</t>
  </si>
  <si>
    <t>CL-0168</t>
  </si>
  <si>
    <t>V-304</t>
  </si>
  <si>
    <t>FO-0169</t>
  </si>
  <si>
    <t>CL-0169</t>
  </si>
  <si>
    <t>V-641</t>
  </si>
  <si>
    <t>FO-0170</t>
  </si>
  <si>
    <t>CL-0170</t>
  </si>
  <si>
    <t>V-931</t>
  </si>
  <si>
    <t>FO-0171</t>
  </si>
  <si>
    <t>CL-0171</t>
  </si>
  <si>
    <t>V-313</t>
  </si>
  <si>
    <t>FO-0172</t>
  </si>
  <si>
    <t>CL-0172</t>
  </si>
  <si>
    <t>V-906</t>
  </si>
  <si>
    <t>FO-0173</t>
  </si>
  <si>
    <t>CL-0173</t>
  </si>
  <si>
    <t>V-952</t>
  </si>
  <si>
    <t>FO-0174</t>
  </si>
  <si>
    <t>CL-0174</t>
  </si>
  <si>
    <t>FO-0175</t>
  </si>
  <si>
    <t>CL-0175</t>
  </si>
  <si>
    <t>V-749</t>
  </si>
  <si>
    <t>FO-0176</t>
  </si>
  <si>
    <t>CL-0176</t>
  </si>
  <si>
    <t>V-243</t>
  </si>
  <si>
    <t>FO-0177</t>
  </si>
  <si>
    <t>CL-0177</t>
  </si>
  <si>
    <t>V-218</t>
  </si>
  <si>
    <t>FO-0178</t>
  </si>
  <si>
    <t>CL-0178</t>
  </si>
  <si>
    <t>V-130</t>
  </si>
  <si>
    <t>FO-0179</t>
  </si>
  <si>
    <t>CL-0179</t>
  </si>
  <si>
    <t>V-516</t>
  </si>
  <si>
    <t>FO-0180</t>
  </si>
  <si>
    <t>CL-0180</t>
  </si>
  <si>
    <t>FO-0181</t>
  </si>
  <si>
    <t>CL-0181</t>
  </si>
  <si>
    <t>V-713</t>
  </si>
  <si>
    <t>FO-0182</t>
  </si>
  <si>
    <t>CL-0182</t>
  </si>
  <si>
    <t>FO-0183</t>
  </si>
  <si>
    <t>CL-0183</t>
  </si>
  <si>
    <t>V-208</t>
  </si>
  <si>
    <t>FO-0184</t>
  </si>
  <si>
    <t>CL-0184</t>
  </si>
  <si>
    <t>V-928</t>
  </si>
  <si>
    <t>FO-0185</t>
  </si>
  <si>
    <t>CL-0185</t>
  </si>
  <si>
    <t>FO-0186</t>
  </si>
  <si>
    <t>CL-0186</t>
  </si>
  <si>
    <t>V-416</t>
  </si>
  <si>
    <t>FO-0187</t>
  </si>
  <si>
    <t>CL-0187</t>
  </si>
  <si>
    <t>V-836</t>
  </si>
  <si>
    <t>FO-0188</t>
  </si>
  <si>
    <t>CL-0188</t>
  </si>
  <si>
    <t>V-410</t>
  </si>
  <si>
    <t>FO-0189</t>
  </si>
  <si>
    <t>CL-0189</t>
  </si>
  <si>
    <t>V-414</t>
  </si>
  <si>
    <t>FO-0190</t>
  </si>
  <si>
    <t>CL-0190</t>
  </si>
  <si>
    <t>V-823</t>
  </si>
  <si>
    <t>FO-0191</t>
  </si>
  <si>
    <t>CL-0191</t>
  </si>
  <si>
    <t>V-214</t>
  </si>
  <si>
    <t>FO-0192</t>
  </si>
  <si>
    <t>CL-0192</t>
  </si>
  <si>
    <t>V-135</t>
  </si>
  <si>
    <t>FO-0193</t>
  </si>
  <si>
    <t>CL-0193</t>
  </si>
  <si>
    <t>V-565</t>
  </si>
  <si>
    <t>FO-0194</t>
  </si>
  <si>
    <t>CL-0194</t>
  </si>
  <si>
    <t>V-148</t>
  </si>
  <si>
    <t>FO-0195</t>
  </si>
  <si>
    <t>CL-0195</t>
  </si>
  <si>
    <t>FO-0196</t>
  </si>
  <si>
    <t>CL-0196</t>
  </si>
  <si>
    <t>V-716</t>
  </si>
  <si>
    <t>FO-0197</t>
  </si>
  <si>
    <t>CL-0197</t>
  </si>
  <si>
    <t>V-232</t>
  </si>
  <si>
    <t>FO-0198</t>
  </si>
  <si>
    <t>CL-0198</t>
  </si>
  <si>
    <t>V-418</t>
  </si>
  <si>
    <t>FO-0199</t>
  </si>
  <si>
    <t>CL-0199</t>
  </si>
  <si>
    <t>V-459</t>
  </si>
  <si>
    <t>FO-0200</t>
  </si>
  <si>
    <t>CL-0200</t>
  </si>
  <si>
    <t>V-899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</si>
  <si>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</si>
  <si>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</si>
  <si>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</si>
  <si>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</si>
  <si>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</si>
  <si>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</si>
  <si>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</si>
  <si>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</si>
  <si>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</si>
  <si>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</si>
  <si>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</si>
  <si>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</si>
  <si>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</si>
  <si>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</si>
  <si>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Ingreso Total</t>
  </si>
  <si>
    <t>Ventas</t>
  </si>
  <si>
    <t>$0-$200k</t>
  </si>
  <si>
    <t>$200k-$400k</t>
  </si>
  <si>
    <t>$400k-$600k</t>
  </si>
  <si>
    <t>$600k-$800k</t>
  </si>
  <si>
    <t>$800k-$1M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</si>
</sst>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164" formatCode="dd/mm/yyyy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164" fontId="2" fillId="0" borderId="1"/>
    <xf numFmtId="165" fontId="2" fillId="0" borderId="1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2" fillId="0" borderId="1" xfId="1"/>
    <xf numFmtId="165" fontId="2" fillId="0" borderId="1" xfId="2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left"/>
    </xf>
    <xf numFmtId="0" fontId="0" fillId="2" borderId="0" xfId="0" applyFill="1"/>
    <xf numFmtId="44" fontId="0" fillId="0" borderId="0" xfId="0" applyNumberFormat="1" applyAlignment="1">
      <alignment horizontal="left"/>
    </xf>
  </cellXfs>
  <cellStyles count="3">
    <cellStyle name="currency_style" xfId="2" xr:uid="{00000000-0005-0000-0000-000002000000}"/>
    <cellStyle name="date_style" xfId="1" xr:uid="{00000000-0005-0000-0000-000001000000}"/>
    <cellStyle name="Normal" xfId="0" builtinId="0"/>
  </cellStyles>
  <dxfs count="5">
    <dxf>
      <numFmt numFmtId="34" formatCode="_-&quot;$&quot;\ * #,##0.00_-;\-&quot;$&quot;\ * #,##0.00_-;_-&quot;$&quot;\ * &quot;-&quot;??_-;_-@_-"/>
    </dxf>
    <dxf>
      <font>
        <b/>
        <sz val="11"/>
        <color theme="1"/>
      </font>
      <border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sz val="11"/>
        <color theme="1"/>
      </font>
    </dxf>
    <dxf>
      <font>
        <b/>
        <i val="0"/>
        <sz val="14"/>
        <color theme="3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Estilo de escala de tiempo 1" pivot="0" table="0" count="8" xr9:uid="{4AEB4B64-6585-4500-AF45-CF6929567AFC}">
      <tableStyleElement type="wholeTable" dxfId="4"/>
      <tableStyleElement type="headerRow" dxfId="3"/>
    </tableStyle>
    <tableStyle name="TimeSlicerStyleLight1 2" pivot="0" table="0" count="9" xr9:uid="{3421DACD-945B-42F8-A3B4-B15AA34AD9F4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3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escala de tiempo 1">
          <x15:timelineStyleElements>
            <x15:timelineStyleElement type="selectionLabel" dxfId="12"/>
            <x15:timelineStyleElement type="timeLevel" dxfId="11"/>
            <x15:timelineStyleElement type="periodLabel1" dxfId="10"/>
            <x15:timelineStyleElement type="periodLabel2" dxfId="9"/>
            <x15:timelineStyleElement type="selectedTimeBlock" dxfId="8"/>
            <x15:timelineStyleElement type="unselectedTimeBlock" dxfId="7"/>
          </x15:timelineStyleElements>
        </x15:timelineStyle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TablasDinamicas!$B$4:$B$16</c:f>
              <c:numCache>
                <c:formatCode>"$"#,##0.00</c:formatCode>
                <c:ptCount val="12"/>
                <c:pt idx="0">
                  <c:v>2797513.34</c:v>
                </c:pt>
                <c:pt idx="1">
                  <c:v>8381581.1800000006</c:v>
                </c:pt>
                <c:pt idx="2">
                  <c:v>3514550.4999999995</c:v>
                </c:pt>
                <c:pt idx="3">
                  <c:v>2754211.55</c:v>
                </c:pt>
                <c:pt idx="4">
                  <c:v>4493635.45</c:v>
                </c:pt>
                <c:pt idx="5">
                  <c:v>5461420.9200000018</c:v>
                </c:pt>
                <c:pt idx="6">
                  <c:v>4325095.0699999994</c:v>
                </c:pt>
                <c:pt idx="7">
                  <c:v>4488616.9400000004</c:v>
                </c:pt>
                <c:pt idx="8">
                  <c:v>5304150.3499999996</c:v>
                </c:pt>
                <c:pt idx="9">
                  <c:v>4802823.7400000012</c:v>
                </c:pt>
                <c:pt idx="10">
                  <c:v>4232512.3099999987</c:v>
                </c:pt>
                <c:pt idx="11">
                  <c:v>3855755.7999999993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D-4570-8921-50685E7B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886448"/>
        <c:axId val="1843255472"/>
      </c:barChart>
      <c:catAx>
        <c:axId val="13578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5472"/>
        <c:crosses val="autoZero"/>
        <c:auto val="1"/>
        <c:lblAlgn val="ctr"/>
        <c:lblOffset val="100"/>
        <c:noMultiLvlLbl val="0"/>
      </c:catAx>
      <c:valAx>
        <c:axId val="184325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8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TablasDinamicas!$A$24:$A$34</c:f>
              <c:strCache>
                <c:ptCount val="10"/>
                <c:pt idx="0">
                  <c:v>Alpina</c:v>
                </c:pt>
                <c:pt idx="1">
                  <c:v>Arturo Calle</c:v>
                </c:pt>
                <c:pt idx="2">
                  <c:v>Bavaria</c:v>
                </c:pt>
                <c:pt idx="3">
                  <c:v>Colombina</c:v>
                </c:pt>
                <c:pt idx="4">
                  <c:v>Grupo Éxito</c:v>
                </c:pt>
                <c:pt idx="5">
                  <c:v>Juan Valdez</c:v>
                </c:pt>
                <c:pt idx="6">
                  <c:v>Nutresa</c:v>
                </c:pt>
                <c:pt idx="7">
                  <c:v>Postobón</c:v>
                </c:pt>
                <c:pt idx="8">
                  <c:v>Ramo</c:v>
                </c:pt>
                <c:pt idx="9">
                  <c:v>Sura</c:v>
                </c:pt>
              </c:strCache>
            </c:strRef>
          </c:cat>
          <c:val>
            <c:numRef>
              <c:f>TablasDinamicas!$B$24:$B$34</c:f>
              <c:numCache>
                <c:formatCode>"$"#,##0.00</c:formatCode>
                <c:ptCount val="10"/>
                <c:pt idx="0">
                  <c:v>5699234.709999999</c:v>
                </c:pt>
                <c:pt idx="1">
                  <c:v>5541509.0199999996</c:v>
                </c:pt>
                <c:pt idx="2">
                  <c:v>6344249.9699999988</c:v>
                </c:pt>
                <c:pt idx="3">
                  <c:v>4287070.3299999991</c:v>
                </c:pt>
                <c:pt idx="4">
                  <c:v>3028256.47</c:v>
                </c:pt>
                <c:pt idx="5">
                  <c:v>3656718.0099999993</c:v>
                </c:pt>
                <c:pt idx="6">
                  <c:v>6159174.330000001</c:v>
                </c:pt>
                <c:pt idx="7">
                  <c:v>7554489.25</c:v>
                </c:pt>
                <c:pt idx="8">
                  <c:v>7544931.830000001</c:v>
                </c:pt>
                <c:pt idx="9">
                  <c:v>4596233.2300000004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4EBE-8777-B321F975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7890624"/>
        <c:axId val="1843194512"/>
      </c:barChart>
      <c:catAx>
        <c:axId val="135789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194512"/>
        <c:crosses val="autoZero"/>
        <c:auto val="1"/>
        <c:lblAlgn val="ctr"/>
        <c:lblOffset val="100"/>
        <c:noMultiLvlLbl val="0"/>
      </c:catAx>
      <c:valAx>
        <c:axId val="184319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8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TablasDinamicas!$K$4:$K$14</c:f>
              <c:strCache>
                <c:ptCount val="10"/>
                <c:pt idx="0">
                  <c:v>Aceites</c:v>
                </c:pt>
                <c:pt idx="1">
                  <c:v>Bebidas</c:v>
                </c:pt>
                <c:pt idx="2">
                  <c:v>Carnes</c:v>
                </c:pt>
                <c:pt idx="3">
                  <c:v>Condimentos</c:v>
                </c:pt>
                <c:pt idx="4">
                  <c:v>Dulces</c:v>
                </c:pt>
                <c:pt idx="5">
                  <c:v>Granos</c:v>
                </c:pt>
                <c:pt idx="6">
                  <c:v>Lácteos</c:v>
                </c:pt>
                <c:pt idx="7">
                  <c:v>Panadería</c:v>
                </c:pt>
                <c:pt idx="8">
                  <c:v>Proteínas</c:v>
                </c:pt>
                <c:pt idx="9">
                  <c:v>Verduras</c:v>
                </c:pt>
              </c:strCache>
            </c:strRef>
          </c:cat>
          <c:val>
            <c:numRef>
              <c:f>TablasDinamicas!$L$4:$L$14</c:f>
              <c:numCache>
                <c:formatCode>"$"#,##0.00</c:formatCode>
                <c:ptCount val="10"/>
                <c:pt idx="0">
                  <c:v>5052815.51</c:v>
                </c:pt>
                <c:pt idx="1">
                  <c:v>3948630.32</c:v>
                </c:pt>
                <c:pt idx="2">
                  <c:v>6852937.0300000003</c:v>
                </c:pt>
                <c:pt idx="3">
                  <c:v>3460611.0999999996</c:v>
                </c:pt>
                <c:pt idx="4">
                  <c:v>2376580.16</c:v>
                </c:pt>
                <c:pt idx="5">
                  <c:v>14135504.760000004</c:v>
                </c:pt>
                <c:pt idx="6">
                  <c:v>3049021.87</c:v>
                </c:pt>
                <c:pt idx="7">
                  <c:v>4087895.95</c:v>
                </c:pt>
                <c:pt idx="8">
                  <c:v>2110497.4199999995</c:v>
                </c:pt>
                <c:pt idx="9">
                  <c:v>9337373.0299999993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C-4D3B-BA52-5583EC5D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251536"/>
        <c:axId val="1843250192"/>
      </c:barChart>
      <c:catAx>
        <c:axId val="207825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0192"/>
        <c:crosses val="autoZero"/>
        <c:auto val="1"/>
        <c:lblAlgn val="ctr"/>
        <c:lblOffset val="100"/>
        <c:noMultiLvlLbl val="0"/>
      </c:catAx>
      <c:valAx>
        <c:axId val="184325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25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TablasDinamicas!$L$41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4E-4F78-8322-92F41066FB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4E-4F78-8322-92F41066FB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4E-4F78-8322-92F41066FB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4E-4F78-8322-92F41066FB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74E-4F78-8322-92F41066FBAA}"/>
              </c:ext>
            </c:extLst>
          </c:dPt>
          <c:cat>
            <c:strRef>
              <c:f>TablasDinamicas!$K$42:$K$47</c:f>
              <c:strCache>
                <c:ptCount val="5"/>
                <c:pt idx="0">
                  <c:v>$0-$200k</c:v>
                </c:pt>
                <c:pt idx="1">
                  <c:v>$200k-$400k</c:v>
                </c:pt>
                <c:pt idx="2">
                  <c:v>$400k-$600k</c:v>
                </c:pt>
                <c:pt idx="3">
                  <c:v>$600k-$800k</c:v>
                </c:pt>
                <c:pt idx="4">
                  <c:v>$800k-$1M</c:v>
                </c:pt>
              </c:strCache>
            </c:strRef>
          </c:cat>
          <c:val>
            <c:numRef>
              <c:f>TablasDinamicas!$L$42:$L$47</c:f>
              <c:numCache>
                <c:formatCode>"$"#,##0.00</c:formatCode>
                <c:ptCount val="5"/>
                <c:pt idx="0">
                  <c:v>8973848.1200000029</c:v>
                </c:pt>
                <c:pt idx="1">
                  <c:v>13481116.610000001</c:v>
                </c:pt>
                <c:pt idx="2">
                  <c:v>17073569.069999997</c:v>
                </c:pt>
                <c:pt idx="3">
                  <c:v>12321528.300000001</c:v>
                </c:pt>
                <c:pt idx="4">
                  <c:v>2561805.0499999998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3-483D-94FD-8D8000304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totales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\'###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\'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TablasDinamicas!$A$4:$A$16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TablasDinamicas!$B$4:$B$16</c:f>
              <c:numCache>
                <c:formatCode>"$"#,##0.00</c:formatCode>
                <c:ptCount val="12"/>
                <c:pt idx="0">
                  <c:v>2797513.34</c:v>
                </c:pt>
                <c:pt idx="1">
                  <c:v>8381581.1800000006</c:v>
                </c:pt>
                <c:pt idx="2">
                  <c:v>3514550.4999999995</c:v>
                </c:pt>
                <c:pt idx="3">
                  <c:v>2754211.55</c:v>
                </c:pt>
                <c:pt idx="4">
                  <c:v>4493635.45</c:v>
                </c:pt>
                <c:pt idx="5">
                  <c:v>5461420.9200000018</c:v>
                </c:pt>
                <c:pt idx="6">
                  <c:v>4325095.0699999994</c:v>
                </c:pt>
                <c:pt idx="7">
                  <c:v>4488616.9400000004</c:v>
                </c:pt>
                <c:pt idx="8">
                  <c:v>5304150.3499999996</c:v>
                </c:pt>
                <c:pt idx="9">
                  <c:v>4802823.7400000012</c:v>
                </c:pt>
                <c:pt idx="10">
                  <c:v>4232512.3099999987</c:v>
                </c:pt>
                <c:pt idx="11">
                  <c:v>3855755.7999999993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E-4EC1-ABC2-3C4410D70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357886448"/>
        <c:axId val="1843255472"/>
      </c:barChart>
      <c:catAx>
        <c:axId val="135788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5472"/>
        <c:crosses val="autoZero"/>
        <c:auto val="1"/>
        <c:lblAlgn val="ctr"/>
        <c:lblOffset val="100"/>
        <c:noMultiLvlLbl val="0"/>
      </c:catAx>
      <c:valAx>
        <c:axId val="1843255472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35788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#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&quot;$&quot;#,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TablasDinamicas!$A$24:$A$34</c:f>
              <c:strCache>
                <c:ptCount val="10"/>
                <c:pt idx="0">
                  <c:v>Alpina</c:v>
                </c:pt>
                <c:pt idx="1">
                  <c:v>Arturo Calle</c:v>
                </c:pt>
                <c:pt idx="2">
                  <c:v>Bavaria</c:v>
                </c:pt>
                <c:pt idx="3">
                  <c:v>Colombina</c:v>
                </c:pt>
                <c:pt idx="4">
                  <c:v>Grupo Éxito</c:v>
                </c:pt>
                <c:pt idx="5">
                  <c:v>Juan Valdez</c:v>
                </c:pt>
                <c:pt idx="6">
                  <c:v>Nutresa</c:v>
                </c:pt>
                <c:pt idx="7">
                  <c:v>Postobón</c:v>
                </c:pt>
                <c:pt idx="8">
                  <c:v>Ramo</c:v>
                </c:pt>
                <c:pt idx="9">
                  <c:v>Sura</c:v>
                </c:pt>
              </c:strCache>
            </c:strRef>
          </c:cat>
          <c:val>
            <c:numRef>
              <c:f>TablasDinamicas!$B$24:$B$34</c:f>
              <c:numCache>
                <c:formatCode>"$"#,##0.00</c:formatCode>
                <c:ptCount val="10"/>
                <c:pt idx="0">
                  <c:v>5699234.709999999</c:v>
                </c:pt>
                <c:pt idx="1">
                  <c:v>5541509.0199999996</c:v>
                </c:pt>
                <c:pt idx="2">
                  <c:v>6344249.9699999988</c:v>
                </c:pt>
                <c:pt idx="3">
                  <c:v>4287070.3299999991</c:v>
                </c:pt>
                <c:pt idx="4">
                  <c:v>3028256.47</c:v>
                </c:pt>
                <c:pt idx="5">
                  <c:v>3656718.0099999993</c:v>
                </c:pt>
                <c:pt idx="6">
                  <c:v>6159174.330000001</c:v>
                </c:pt>
                <c:pt idx="7">
                  <c:v>7554489.25</c:v>
                </c:pt>
                <c:pt idx="8">
                  <c:v>7544931.830000001</c:v>
                </c:pt>
                <c:pt idx="9">
                  <c:v>4596233.2300000004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5-47DA-BE9B-E27414578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357890624"/>
        <c:axId val="1843194512"/>
      </c:barChart>
      <c:catAx>
        <c:axId val="135789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194512"/>
        <c:crosses val="autoZero"/>
        <c:auto val="1"/>
        <c:lblAlgn val="ctr"/>
        <c:lblOffset val="100"/>
        <c:noMultiLvlLbl val="0"/>
      </c:catAx>
      <c:valAx>
        <c:axId val="1843194512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35789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[Dashboard.xlsx]TablasDinamicas!TablaDinámica3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Ventas por categoría de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\'###,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TablasDinamicas!$L$3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\'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TablasDinamicas!$K$4:$K$14</c:f>
              <c:strCache>
                <c:ptCount val="10"/>
                <c:pt idx="0">
                  <c:v>Aceites</c:v>
                </c:pt>
                <c:pt idx="1">
                  <c:v>Bebidas</c:v>
                </c:pt>
                <c:pt idx="2">
                  <c:v>Carnes</c:v>
                </c:pt>
                <c:pt idx="3">
                  <c:v>Condimentos</c:v>
                </c:pt>
                <c:pt idx="4">
                  <c:v>Dulces</c:v>
                </c:pt>
                <c:pt idx="5">
                  <c:v>Granos</c:v>
                </c:pt>
                <c:pt idx="6">
                  <c:v>Lácteos</c:v>
                </c:pt>
                <c:pt idx="7">
                  <c:v>Panadería</c:v>
                </c:pt>
                <c:pt idx="8">
                  <c:v>Proteínas</c:v>
                </c:pt>
                <c:pt idx="9">
                  <c:v>Verduras</c:v>
                </c:pt>
              </c:strCache>
            </c:strRef>
          </c:cat>
          <c:val>
            <c:numRef>
              <c:f>TablasDinamicas!$L$4:$L$14</c:f>
              <c:numCache>
                <c:formatCode>"$"#,##0.00</c:formatCode>
                <c:ptCount val="10"/>
                <c:pt idx="0">
                  <c:v>5052815.51</c:v>
                </c:pt>
                <c:pt idx="1">
                  <c:v>3948630.32</c:v>
                </c:pt>
                <c:pt idx="2">
                  <c:v>6852937.0300000003</c:v>
                </c:pt>
                <c:pt idx="3">
                  <c:v>3460611.0999999996</c:v>
                </c:pt>
                <c:pt idx="4">
                  <c:v>2376580.16</c:v>
                </c:pt>
                <c:pt idx="5">
                  <c:v>14135504.760000004</c:v>
                </c:pt>
                <c:pt idx="6">
                  <c:v>3049021.87</c:v>
                </c:pt>
                <c:pt idx="7">
                  <c:v>4087895.95</c:v>
                </c:pt>
                <c:pt idx="8">
                  <c:v>2110497.4199999995</c:v>
                </c:pt>
                <c:pt idx="9">
                  <c:v>9337373.0299999993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4D4-BEE9-5AE5524D7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2078251536"/>
        <c:axId val="1843250192"/>
      </c:barChart>
      <c:catAx>
        <c:axId val="207825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50192"/>
        <c:crosses val="autoZero"/>
        <c:auto val="1"/>
        <c:lblAlgn val="ctr"/>
        <c:lblOffset val="100"/>
        <c:noMultiLvlLbl val="0"/>
      </c:catAx>
      <c:valAx>
        <c:axId val="1843250192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2078251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[Dashboard.xlsx]TablasDinamicas!TablaDinámica5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Ventas por Cantidad</a:t>
            </a:r>
          </a:p>
        </c:rich>
      </c:tx>
      <c:layout>
        <c:manualLayout>
          <c:xMode val="edge"/>
          <c:yMode val="edge"/>
          <c:x val="0.20773547578501295"/>
          <c:y val="0.10355029585798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shade val="53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>
              <a:shade val="76000"/>
            </a:schemeClr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>
              <a:tint val="77000"/>
            </a:schemeClr>
          </a:solidFill>
          <a:ln w="19050">
            <a:noFill/>
          </a:ln>
          <a:effectLst/>
        </c:spPr>
      </c:pivotFmt>
      <c:pivotFmt>
        <c:idx val="12"/>
        <c:spPr>
          <a:solidFill>
            <a:schemeClr val="accent1">
              <a:tint val="54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7.1940428906044863E-3"/>
              <c:y val="-1.4665019770833084E-2"/>
            </c:manualLayout>
          </c:layout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TablasDinamicas!$L$41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89-41DF-BE96-74F4FED701E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89-41DF-BE96-74F4FED701E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89-41DF-BE96-74F4FED701E1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189-41DF-BE96-74F4FED701E1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189-41DF-BE96-74F4FED701E1}"/>
              </c:ext>
            </c:extLst>
          </c:dPt>
          <c:dLbls>
            <c:dLbl>
              <c:idx val="4"/>
              <c:layout>
                <c:manualLayout>
                  <c:x val="-7.1940428906044863E-3"/>
                  <c:y val="-1.466501977083308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89-41DF-BE96-74F4FED701E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TablasDinamicas!$K$42:$K$47</c:f>
              <c:strCache>
                <c:ptCount val="5"/>
                <c:pt idx="0">
                  <c:v>$0-$200k</c:v>
                </c:pt>
                <c:pt idx="1">
                  <c:v>$200k-$400k</c:v>
                </c:pt>
                <c:pt idx="2">
                  <c:v>$400k-$600k</c:v>
                </c:pt>
                <c:pt idx="3">
                  <c:v>$600k-$800k</c:v>
                </c:pt>
                <c:pt idx="4">
                  <c:v>$800k-$1M</c:v>
                </c:pt>
              </c:strCache>
            </c:strRef>
          </c:cat>
          <c:val>
            <c:numRef>
              <c:f>TablasDinamicas!$L$42:$L$47</c:f>
              <c:numCache>
                <c:formatCode>"$"#,##0.00</c:formatCode>
                <c:ptCount val="5"/>
                <c:pt idx="0">
                  <c:v>8973848.1200000029</c:v>
                </c:pt>
                <c:pt idx="1">
                  <c:v>13481116.610000001</c:v>
                </c:pt>
                <c:pt idx="2">
                  <c:v>17073569.069999997</c:v>
                </c:pt>
                <c:pt idx="3">
                  <c:v>12321528.300000001</c:v>
                </c:pt>
                <c:pt idx="4">
                  <c:v>2561805.0499999998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89-41DF-BE96-74F4FED70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00000000-7157-495D-9CEE-339B3970C962}">
          <cx:tx>
            <cx:txData>
              <cx:f>_xlchart.v5.2</cx:f>
              <cx:v>Ventas</cx:v>
            </cx:txData>
          </cx:tx>
          <cx:dataId val="0"/>
          <cx:layoutPr>
            <cx:geography cultureLanguage="es-ES" cultureRegion="CO" attribution="Con tecnología de Bing">
              <cx:geoCache provider="{E9337A44-BEBE-4D9F-B70C-5C5E7DAFC167}">
                <cx:binary>3HvXcuRIsuWvlNXzBjsCocemx+wGgFRUSbKKJV5gLJIV0DIg/2Y/4D7sN8yPrWeJbooS3TZ9zbaX
xrZqZgAI4XD34+d4/vN2+sdtfn/TvpiKvOz+cTv9+jJ2rv7HL790t/F9cdMdFcltW3XVR3d0WxW/
VB8/Jrf3v9y1N2NS2l88TNgvt/FN6+6nl//6JzzN3lcn1e2NS6ryor9v58v7rs9d94Oxbw69uLkr
kjJIOtcmt478+vK/Snhk0yc3L1/cw/+6+dVc3//68tFlL1/88vRhzyZ+kcPaXH8H98ojfPhRXH36
F2P68kVelfbLMJL8iB9GpPD055+vc5/dFHD/H1rSpwXd3N21910Hm/r076NbH+3g0cht1ZfucIIW
DvPXl36VV8WHwwEkXeV/HvOrw0b88087/+Xx8f/rn08+gLN48skDCz09uJ8NPTPQZdLdtDf53V9o
IHakiBCaSfbMMBKshbX8ZB+MvceG+UNL+bZhHtz6xDAPRv5ehjmrwDtf3N2/uLop3U15d99+Pa3/
3IXUEWNEao+pLx4ClnjkQvQIMxiWkn6+QH2d+7ML/bm1fdtk33rGE9t965K/lxH/y+X//t8Q926r
rwf4nxuP4CMBhmEeI0+sxo60JEp4Un+OjBAYPwfdL4HvDy3m29Z6uJEnVno49Peyjqnyf//3cPMX
OpY+okJgJpX4kpuem0hhjwrM6ecLYPyhif7Iir5toN/vfGKe3wf+XsbxD0mp+3o8/7nb8CMshNJY
Po11B7ggYAh/8Rr+dc7PXvPzdXzbIF/ve2KOrx//zYzRl3dJeVPctLd/IVDgRwRrwbUAWPDp57m3
YK25El/z1JOA5v/BVX3HQI/ufmqmR4N/L2Od3ti7m/y+/AstBTkH4LYCTK2f5RwsFBecfrEheNfD
gPaH1vJt+zy49YlxHoz8vSzzPwDlfloN0SPvALe/Vw39oSV920APbn1ioAcjfy8DXd/k+QF05y/8
m/6vDHX0SGjFMPfEF8T91I/EEef4UJeTzxc8CXV/YmHfNtazBzwx2bPx/7cN993VfQ4+n+HCo4v+
JMvAjiD1aCI0GOJRaeQdaawUoewL/SAeB7zfy/3vr+TbFvr9zkfr/p9nEL7PLvxGwwQ37ib8xN88
IBh+PPppk0ArPbn1S3b4Jp77fGLbu19fEkyw0B4kk9+oocNzHqWWiz4p7/79379VVo/vu7/p3K8v
D2QQVeB0mHlaKAnYbrz/OqA0lx5hlHP2eaiEkjv+9SU7go+pBJoCliCZPvAUXdV/HsKSewRjzRgn
8FT6G322r/LZVuVvh/Ll7xdlX+yrpHQdPJjgly/qz9cdVsshpx4KBQElgVTqUBnA+O3NJXB0cDn5
X4NL4hjXaAmKpTvL616s+kVvO1KwbaLG1iBd2BCnIzNkWhpTlnPtd151zeY28YsuHUxU0NJ4rkhM
QqfrRc7cX4ibg66WrxlpcjPbrPZzrYqPbrSnNavjUGt8yqI9rtLOFxKuqS25mbw0nAhLjVdlMqAj
bgxt4E+2oNi4scr8uUq3I7KJEQjXJi7LwlTdnISLyu+8nJX+UDWeyctZmExyFTRymU0VNYnfTPEZ
7kXqVwW+QTpNDKlHESZTUZx4CO3npI19WZbLSsj+StR57uPWvYv7fA6aiYQLyUo/X6orVjSv7NBl
hk/jrlDybJoSYZY5H4NEdsJYO8d+v9g3zkbltp6tNDnFzQcvU28mqa9z3jVbLmsUAkfVhKwju055
3Mi8icNl0J7v8YyckylqVqWoch8dnq8jr/dnhfeYjcGIlRdmReKt4yry/FgknqGx06tFkMrXvY38
AiM/m3C1yko4gbLvT1yT6KBtXH9WVwm/HG13VbO5CnISfSgnWYRTq97MOvpYNUtpkhnHq3pO8qB0
1V2f9VOIkui0VVbshtKr91Rl+4nSbDU2sQ4VSpY3PK+kPy4Z2jecRMYi9r5Q5I7a3IV8KU4Xiphh
FZPByKJjRqp4VbXqjtKkN9U4pwEv0Sl2TTC7iRrRdH5NeWTSNLqlk9jmpOuM5HY0xZxnpqqcDFwa
7/tOJWbM1Xm2sB0dxivZkcH3RL5bMnySF2f9rqsj1vp0qpdAadkaSXiYc1b4dTYPBk8896NR3Uy5
MM24q/RNlxxrV54slfb7NDOsoCZvWl/F3nYuz1FUrxBezIhaE3evWsp3U4MMZfFFg6ZwEOJkZLUZ
BDUl1sFMBuvP0wyfOJUaNN2U5DSrbjynX+uu2CNcBiwJrCqq0KanTGdBJmXgHY+DIhecVBd5lQVe
XR5HNOt9ljdn6ZKCjZp0Vas6WuN8PqEIPiklMY1Y92xEfuE2EXykcWGcFdsGB15y02tXbYaJTobk
WW5y3oQezv0y8VZZjldJu1QmagYLzlGFkYsDETW3dVtft2jcWsE/pDW9Lrh3McjocpmjyYxxGjQe
8Zm41ALe1d1Y7hZ4k205mqQWPtODj4bSB6UgzKPqDukm6IX0SbKUu3ZEBg2XevR20ayxv8TVWbxU
Ww+p9VCjwc95shmFt6mXxdctPrPJspL5NRXproHdz2hy4Tih43yM+7NClRdZkp902DtWfRcbzMSV
nraNEjcFr2C7hbd2GQnjaXnjlWg18ubE5pHP3AzOCDufurdeSi5IkmE/W1BmZrf3vPzaMXuf2Pli
KeLGp3V8nrqK+Hys75epu5RF7tcoD9K8CqW+a+IojOfxTS55SNhoUnLSz3WA053MP2RzESA73oq8
8olHg7J+D0qGz3Bn6OKtLUlWIo7fZk0bDgM5Lr3Zn3v5mi+j6WwLb1CSGC2610sS7bLFbmt9WkzX
Ud4HlmUsEBXq/UIwurJsOWFtcYjVWedLu43UJUrvVP6aljMExhGfQtAvAjElo5nJdFJLCKsM2euq
p3u9TMO6yObcp2g0lfpYL+pd0vTvJbY7OnfvhqGOTZeRfNWNYvAL66WXLA4ydTcrua7HqTCyaN5M
va1XjSSBE/A7GNT0dy6d6lXZFkk4NZFaqyz5uLBXquCmSOPYlB1+T4kI+qna5XwoTIzPuymaTTex
YdW4g/sWsvLnga8jkpmiag0ZiiywCUnuIt5fL3hezIKLq5TX1MS2v2ftFD4UQh4l0tuqhlRm4y9S
1G9//uv0q771SRz5/fODmPX7X+fDfev69v7F6U3dvVhBUf9J4np6zwEB/XbT73rLAXL8Jr4c/ngG
gb4Dcj6rZ98Z/DMIiAC6/D4C2veuL27mbyCgw31fERA9UoyA0TyPEkAtFEiWrxhIHgFdLDVQX1xi
SjyAR18wEDliQIlJrQVVkoGeA/XKFwyEgAuApzCAx4oAaIH//hQIUiALPQZBhDN9kCOAnAPU5R1A
0gMQlHa4z2uUFUGdDyXKdsNgu9xvZEvZZVarCXI4idwtcHjcmoolWbrSHs5uqppBehBKiX1Fi/wu
mxpxBgk7DuNuSu5S2iK8ghAzrou5iQFCMd1cdAz372vPG2kYUzlxfywVTvxhJnHg2qoHL9dOrKxD
+kbFFdkmRZy+TasmzU0Ph3FWIsrOeEnyK5clS0h11plE0BYwwTBtOCZ2NXZFQU5gE+2p415zzFxa
fWy82GKjsiUKp75qb0mL06skW5IdYbLvgjJtYTOUDydNVY8fASt0Gy5797G3Dp95wKL5qMzVLirp
fMlj3vW+1pPKgnog2EBAz8IJkU7sXOrKdlV4k/N8V6VzbCLWFddU0+a079qlNlnWF2HiRnXr7Mis
P7FZ5ibDTq9JX3n1hixMNkaiFL+Z4zEN1SLyDVcEnYxJVr5tFu69iyK+0CAfMTJ2HvvdMiC+qpux
U2EuZRTgPsH7sUm6gGsHOSpjsahMXST5nrJBtKbJZHfFMR8/pDkeV0Pex+uppv27vtfKn51M3/B2
KM5ZZ6s32JtQFI59TN/lWV9eE4aryqSqijcTra9o3ZZhtMRqY3MxRn7TleQa0q2ITVMwGplFq0kB
zJNTbHjbXtUKmX6w+xhxdJ+2kzf5cODZnR7EaR/LO0kQv0jGBaBm3WnP+lHslm3pSkA45SI3TpfH
Hp2j3dxGH3qX9GdEJkOoCk03VYr1vC6EHv1hzAFVF5N+Ew3tfaVEfOPmgZ15bm62/dTVG0uGhppB
sjQYXGRXbS6a45G49KxX2q45atqPkVjE6M+JwDtIX2WQdbY4hYiu1rQRw7pthvE24Yt63Q3jvB7y
ttzoSLX+qEd71SZIr+eYZdYkXW/fCEgq555AyXqkVfSaDQxvmWXTtiBs2c4AUg/oPPV8wmVWm7S0
vDVlHKUO4GVVaH8WXfuxFlnrrTyJ5qAHjnfxWxU1NmAtmV7HQ9FcFVFNrJ8IPm8rLbtN6mHrCxqh
yy5GFTPeOMjLpas42nWddNjHS8c3UK3FbdgQbwwdbRJkYp1aXyX9qcW09meklCFztY95HBIyMFMu
eIOipu5NDhfss3gs9skge3+Yum6bDdQLSWmXbVe28FyLzikv73uHVsTD5dncx9fdzI0b6pV08SWe
yuYSYgU1SUl91CUoLLLsLWS81G/T4Q0rq2OL+l3Dy49xIurUj/G8mjxeBkU/5f7E48lEdJJ7z+JV
mmboGpBBflVBeHsVo75dZzTPQ1sv74vWTltvVAGO1TuK+7OMTtZH9XyL+3jrSFdnJsnm91aNPjim
iQve+m6ut3RJ61VhXfuWuI76DGDxqpm6AFXVabFAaSLbTwBTv80AslQ9C3vZVyueFSc6i+M1jWd8
Uo7lEIyuCso212E/F8pnlPaBaMGdRSp2uGnFLdPdm7Lj4AJL5K1HFZXD7ST6cb+UeXOS8Xg96yo1
NJ8A2heVNW4eryGfrJFC4cicF2B4k1bNgFt/lm42BUnDOZVoE3eqXtdEWZMtTdBG8ipt+WwQDM3d
UoS252dJGvnwmjkzWHQ9uCUPIOL4auzMPMpuVRVO++XYslNEu/FSzp0McIaXE55MdhONgE5QiWeD
c7Ks8vJjGkeloUl0a/sm822B3o00vu/LBb1SFM2pb+klHpps3UaEvR67odyVJSAfFE/9BzbI5aq2
VqxnFw/XkUyh7OkHl69rZAEutbwPM16MmemIra+Lch5aw1hR36B5gCA0zPH8UTGnzqZs0qdUJF3m
J4yrezLGyxqzHHOTIagis4zo2zQDvG0WFVWXnccPMWiYmgGiBCKTSUEukb5MkAtVQsQajV22i1or
j6EWGoeTAU8dvC9oGi6ktsn5UnqdSVt7n/YQuAFPjugqn5riDa9UdW45z0/SiLyyKi3MnFPu0yiH
2NFU6qK1cXFetjF674EPV6aKM8CRELyGt6Xohq2Ik2XXTEAOmMTi4kPfz5AmJyrt5bgU895meN7m
AJB9mbfNakBRtlGlaIyNdWd9tjQSSg7arON6yo7pCAkiS6thCOKoxpdlheTOEy49AV8dXid55Ph6
blvySnWzPJ4dAkft0h51ps5U/WFoPHViSzLeqokXJ44sGfPzTkSbeuTpCuo5tSm7EVx40nkBQa6G
+rBBI1tVava8QEiWx4ZkWDkziUldZDKTpcll5y5Fpt8Vi72oyzLdxB6YxuexKzvTs344Vl3G38nY
SmW6mtSTr6cUXueliApIiZOA9DE3ByoghtxmXBnJV8ICjBBFHUPFULAT3nfSBhnO68Lgdq5bA/6D
SmOJyi+8rq0dwHebqrUnyzw1lZzseT9TBtyP7BRwD/WyboktL5qyspuYJLL0ERoXPxOLvsw1OhAo
jA2DGcuukKZpU29dNTPdC4BFp4VY2pWDl/5i4iTdFXKIlZmTuppNVurm3dyRdvXnQfx5fV9eufb+
3gE+fwrKH2Lyf/19gbxmWEgKmPb7OP7spk3+/X8ewfjf7vqK4sWRokwAJ6045YQL4CS/ongNDXHS
g5YDSeShMQTw9RcU7x2BrH3oRWAeUJ3YIwDwv6B4DJ0KFHMA8RJoSK4pcKNfC5ZHFRhQuF/+fkRl
PsHwkhPJDkyrhEIDAtAB4z/A8CgTbQ5phAQzWuyKNk18nKnEbR4cyzdm+bTgR7XCp3k4cKXQPwGq
I4ay5OE8uBqzbGLEBV0SSRHUAD2ZmVPHoEQdxhqbdBimKCRqAaCRFkj6uSeAUqFaJJOZkWuu2yxV
0mjIgwCNY0u9wbQeWs4ZZEduFkCsiQE+FeemoEN1AUmkBkDJ5gjye7fI43RmmQznGAoDX86AKQxL
UKd8K5fpBLeA5v2YiOGdtNxd5t4c33hexbixqZZzMMnWXlWkQy0wbak2nsfjaxRZ1gQLL8rRV1SQ
y6UfZWFyO01V0KR6SE1vwVn9hTc18VPSZff9OBctrLwUkO4bW2K4pOaDSYZk8YImViI3soryYmt5
4tCmY2mptwMqIA8PDFBySLoC2A89xQIorbG4jxtRW2BMeFr5DHXz+xhJ5oyKO5mFcx+1MujLDGVr
F7MoCbKpT48davHbFMJDHmTaDldqofoj44N6O+SyHwIxO8AtvGtVHdqljivTLg2mftVNHeAuSXqI
U8sA7Mfc6MSaOStrAfRixCbDh9Juk4Y1VcC8yl3ndVnnK+HaTKx5k4KBKjDFZLIhsqk/RRl950WL
vC2TqW6DIZJwGg2K2m2XcOcZr2XJK5VSnvn9hGayaSeHrIGVdS0E4agtzGhJJXyZUcjOEYoKz+ja
y5pwJrzcW06bu3GWyyWGOqw3KMnHHbbjgtZ0jJYsLBsupenntrztWiv2DSngnRml4o1J3aQaX7Ye
+ZhFkAxMo6CHds3UgXWBjE5xQMTSZ0YD2ikMU3x8lehE90b0tASG3h3WXTR0ik9JlTsoLeZ+2RRI
9yxotbbvXZ0tsckBMLWHgmxIAyUjDGS90+keAbvjR66Z4ZwjLPdIpXDkBTwjN7gaCNvF2kaQLSPQ
UQJU6u51qjsVmTpv3K2u2IT8RZP8DSS5+lU7F6kN+pTEt7BaD5uZLRngF+LaJtTV0jcmG624iB2O
er+DktH5eTFGg1G1zSd/8qK6CWRqx8qIjuv3nVNDZloUz9ZMWU+vayBc3xHnFe+GHNXJltOaUsPx
TJRBNkXjJrWxTfzaZUu+n6eS3TtMuz4Y+MIqk0OtuRg560H5WJO0CCIkvAUo13HAW9vPABwm16jb
StNlMrYp7KmX9BTgW1SSOewbz6Wbecj4PmqRfC87Nl3WEmr7ExajbAqisUnXS4zG2rA+G9sgoxmU
Jimqu3LdplG+0wwK8F2XuRjqkSYGxWIol90CuPHe1TNYikB9bM2fz6n/nxBjtw+7qL9KrJ9EM+Cv
vp9KfxdRfxcTOdzxJY0KSKMclDsOMp5QlGvIU1/SqCIg+ylPMyq9Txnx9zRK+BGQSNAKC0IiwQzS
6W9pFLEjz9MwJBT0MhEK2fbPpFEOCflRfuNcSwVwAdIodHECCnic3/jgtbOOq2LVhcydFNfVpTvh
b+0lWS2raD0Fs7+ssjOSmOmk3ap1vV2CetWfNe/by7Yzw8fsFUhwhb8bwjEYwjl4PQZXJ7XvBXqN
DYh2ptsmfhJEZgK/N8WyWsy8yu4eHPk30jSB9uBv7ALahz/tQurDLh+ggVFSIasRdpG/7cM6gAi8
Bjw5YePtQUmbrsUqDW0Qb4tjdvmTqYHofD418JWMAg4BrRZM9XDqLtGzJawpVt56WU3vUurnb9Vp
ca3IOjuGCLpdlJ/LYCnPyt2Pp/7GzAp63mFroA9zjZ9ouYmaQAfru2IFjYarUmUn4yTXJJ7O8oH8
ZJfPphKYAK8psSdAp/bEk/ONOqjVccaTlVRQG8bIaCAVcLoBRS/88aYOx/VQoOZPZjqs5IElxYgT
trQw00AvRwZ14+sfP5/IZxMQTxAKHgTwEdqXn0yg+jRxRdtmK1alcfNm7gbhrVwJb88blaGiOQMS
uuIrjpao+VgAGyyuDimj3mZd3k3XdT42Qhq5VHN3XBfIDZtq6qX02ezYcF3oktKQDW3U73+88MMR
Pz4YAOGKkwO41oDwDy7w4GDwVKGaQx5cJcPrudiLVJmyPvnxHM8PH/yHEsCmQNDDi/UE7OYTTYqh
gzn6AbyG73jVfU4Yn79Rsv+83oew/VkDAhfwIoGrEOIpxiC5P95GL13qTUuUrCLu7mpShpSkJnPR
DrL1a+h/MNkMqiaLABP85B0+PPnJAcLMUn+aGSqHJ46KWyHtgGFmcWov59No73bJflqPb358hp9e
oOfzaMEgrCuPPnVL3nVlWnk6WVHzvjH1CTXYB/QUgFYfLmv7Sq9bv/R/Mqn3rc1JzCEUeJ4Uh7rr
4dtRahl1pc7TFVvn2+qMb0APXi279Exs0JZsfzybB/ns2VFq6CinjGoovfiTyINQxksqabIafbFm
O3RenbVb5k/mHgTa1RAO4eJPYWSoD5J5mP9ks/Tw+KcnrKGSxAK+lMDBlR9vVkaZjLzES1bxVuwa
2Ox0HG3FVgVuM2xQmJ3KS34J0k1f+YNZfKT89D69R3d0r87EmdzqrQ10gI/llv/kZD6d8w+W9jSd
jrXFwOHDyUw2jA+6eEi7jSNrBaJxboCjK0B4Lg20sxRXMgUy6Wdnc8jXzxYAcZowqIoPEtuTsymr
KaXRmKwKYzd0Bdh6pXaeP25UmJ2ht+htcuzOo9rAL9tH52zlHaMtDsaT6lW1b3dsM5v+Jz7/PKpA
xXEIW9yDDij11Fx9XdVSp328cl1VxqeYq/YyJTKdjn/8Wj6fB3IgAbBFJIQWDz/xgQrlUewJEOuS
CrjxYM49KG8g3iVf5ODvBrHnoRgCEUiSIGUSj8BXmh6f8dh5TTECIF8llt2Kolf+AL4CbUCL/Ik5
n+VdUEmBeiDSY9C2TvkhmT0I+lwrVKp6RqFt0FoXIvT0rkwyn5Y/y/CfRM9HL85hKn3oMgTCHLS5
g9M9mComRRe5rkch1FWX85k7Rx/cFT9uz7MddPycZ/sybM6X19Nkyvf4g/rJRskz40ngjCgVh6+J
SfjCypOd1oBNkTfmKHSrettuo13sx4EG+OSt6jNQav27P/eyCGCn4BcYb0A2EEqe4F4ikgU6WsBP
yqQNobdt4Sj48QxPbQczUArcGdYeByWcP/HEuI+9so/nZDX7la/2+ab6CTn19MjgrLgHaIQAaicM
XsbHFrOepI2cURbaKZcm5os2zI11+ONtgCj/9H0XoLTCEQEkAJEKzPQEeshsSLpcJ1kQRTY/o7aU
XnwuutLNKgmaogYiA9g+WfhdzWAlPLNLF0wcFdDv49LxVb7YbAnyosV4lXG8gL5u427wW03t7Ndy
FB9BaKLnAE7Ilpe5w2vouSMfaFzJOMSzxftU0LoKYmkLFcwqrlfw1YHFmRSYH2tYA0WMyStWWRBV
PRWbJKa9MzF0jbwSbUx6kCMU2dhiGfPjZkHaBdr1fAoF6AcFwI++i0CFSvByLAuKvaCMU7sEXo6b
6TptaCT8IqN6uqLCLgS0DhL3zk9pTFOjchdLnxfF1MNCsuEC5EbiBUvapPs8E/20BnFbny99Mr5S
2QwLreFLQ9DoMjFY4jS0+U3TW1BfOpW3ow9kTXcpestPmwg76KKSBfB7Qy0JcFt93pE1HGZcQAdA
Hp33PajbBqxX1kFOB1IHDgHFArxFPUAnXk2BdsSjPBN1P5ThMLI0NbJMxMVQpwvzlxT6ZlY8JkNu
4mWozkpYVO1rqADeRA2F9oAE6Epnogo30O7ZunpcJVNbdHC1OHR1OZ6A58gEJOIhHbOTaln4XtVq
LP14dtA/ukCcmYxjHsqhra4p692c1zDbuFjrTNHjmvqiFiUxIF7X7xs6Q5/jhswSA6eEc/kRyMqu
9uWSQvEIsiLItkPaVc5YDQyiDwoymv0sbZEFP0bRPltc5MJYtlGSbHM5aJuu27FublJvLgpTksIl
oUR6bvzZo7U2ZJmnU91VqgvGRjuQV9TwiWrilQyBwdQo0O0wvYuzpUQmnXDeBqmmkLxVCiKUpX01
hTGoQZPxMGJ5UJejm/00KefIeEXRvrb1kNTGYz1dToaZpZ0Z+6hONlJMkQqBH5ryMC7hDTRNk9Ur
aAD01jPwssqoDqpOoJbKvgZlvbQNeNNC30hSHtoRoP/EgzaqG1lhWQcVNO5Q3/EK0LSUqNqMNCFX
4NML37SCpuT/sndm23HjWJd+lX4B1iIGksAthwjNki3LlnTD5UmcQQAkwOHp/x12VpWtzCqXu256
dfdlKm1TwQCBc/b59mbR4k9/xOintVmQJOKza2QyptWU+BesLQxFd1VykgKChGY3dPPi04lOINUk
hszJ+ay46A8VY0GUt2svh9RhOW35Bv4S0hzo3ScZjSuWt9QyGLJaTOLB0AiPl5mjocqM7kJ1Ro1u
MNd3sP6k4VaOIq+pl5e6L6HE+diH4F6Vtvs180rfttA3RRouc78eq2C19flaoUlKFWrTz1DbG7DK
pg/uQzZHUBrqJgxyOibRmsY7NLFUAtBgmYlN7zOokn1/bFgLOrkct46mmJSSpmhbET51dKQU92VN
HujS+CcdtbrKwbSGRRAM3Ql5Y/1RBb27EcmG0emEW38VDVHrsjGa5wcHVf+tmJUnuI8xVFQzYCp6
BM88X06B7iEO8iT8SldnFii0U3LTarR5OQskuJoqMOt6j7nvabZLyiqqz01NRZO1W9O+dCh4woJ2
fClzrDdb5oZKv+XEk8EWkYs2mo9rNZDUNuWk082OgDtk6IzOy2G4AJez3gMgCjDX88uQe6jztPBj
EH2tAsXluQYqY88EMCQGoHlq5tzjwFFFP9N+zWPVTDyFWg3dVZud3NCpwRRRKql8umK+WacdMwqj
jXnVU0rCREW56y1WelCK0h6q0Zq9EKMeqiO0kooC5LVllE2Br1Vq6xJFB691686TuiyPU6U7IIS0
6beM1bJ5tnsju0JyAIw3VdIN9z2eqC6tF7OdxvPWLVnrzYzNdBwaYLteE+xK+wS8oa3G6WPlHI8A
xfCeXUKJHekZN2RFfaFr8XWhIcej1k7W5W1rgIyLzTqfQXu31cE38f5BTlqSLNikwfyl0/qqt5qS
zA2ix5VF3wObJ75crhdfNl0BflzXN64S4JL54HyQO8F0iUmDBJuE9pc/VspRjL0X17yYNqjjAk96
KVI3k6o758qLKm+Fxda+7C7os60SE0s3H05f9WbWHUOGfQzSaFvZXV9DA06XkuOJJADL4rRFXfPF
iaGJM1Sx3mY1XwDHx3UlaEpXga1VNa7CscdVtONhTsCg0S0EdT9OveYZdEczZtMgx6c4aWdAlYys
Hjp+BY4+cBEFstbT5BIbisfC0MPM8XPREXNCfqz0T5Vj61i0g9hwEETt7HJdmrjLptE2j+PcYeMp
l2r8UoKcVzjWBk0u6jUWe0YxZknOCMxlbYZykL8ZIUW826Wf13RH6f+llcpdSjF3oC1arKgUilVA
cRIMy60XGiMyDdTuy47hhD4uaEtM1oI29jlpbFmn6+Cad+BDDMhsyxjPBViOLmVLxUENq+Trlshy
xaVrl6CcqVaGAYlFAZHU64b59enHi4vGTzLZRZxqMEBjPpEtJCmblw27V6zhCKiHiZACIDchZ6va
8R1nLPbBE+ZPO2YcE+nYoZZaPQdjguEFbQaqM6y49nHmFjtvGBvUHHy17bNfR+w/xuyorPBJ9Fcf
a42bsYTzfjb3fFwz483OC5Bt4Uvs6QSQbuGWZhPkLzAP4T4/2YENLg+CCWg7Wif3vqd7s2aDYDvP
o5ZY0LP1RIo4bP19uToZFiXn657FO/a5BB3oR96Up4cjmRqOh6Fvti9tuGKgMMGbEVepFL3SN7bx
qwDQ0ozTwaFD/2jXgewZwyN17mzrogwba/Sh73jjsn6e62szD5vEnErub7ekUn2WLCT+oub6RJgt
FKM8zJdUNrdR+Xbs1xLru1ySdyfOKw8rJppDQ7poPvCpUfRsL62v9rRuoPJdGVm7ZzAak3mjXJi8
7OgF62Ji8UCBEc6DO06grgkcIwubjjv2ClaMC+NX0hjUg9SGETwDdQToMkRD+SBnAeiBBVX02LkZ
jVA4TvXJ1RCXUerifltSVu1iS/mUrHe950Jl3cDN5wqI0ZzrYNV9Hq2MvhjMnbAW7ShVAXoQvFvY
tv7KYRIqU70NUN6WHhhUbZicL3tc+BKL3TcY2bXGpn7Xkh2WqptlEfWsfSmFtvGhdqosxgbTnkPP
UQyFvkQRs5FteA/o1pG7ZmuDDqjStljzAodIsD1Av2RAkVAYhRdOjnIohgCTwkPDdNS93dnsl3xH
8b8cA4px4ZkZ1yl+MrvX8U0NDG659ioU+oYNVdm98bOL57Opnuly7OLFg5Yx5fJYNxBji0kEEI7n
0artaKxgc952eAKztjch6oWlXbusa7qkeSMCzGyBBqkwhNBMNpm2Qwlcl7Kq/gwRT3xd1x0nU7WO
NTkGZuj4+zlRpc6GhIdPHL9uda4IUL1rZqadXEC4bfiUbbLqYZShE8UKcHNp1qumBB4VZQMO7asd
kgIK874dvCwS3wQ8zjGc7giQc1EKWXRxs33ydJWs2Ge3P8+24u8ZhFR9BEoFbxSsBCa4blvst2dy
XkpQTbuLCCBigtN+zRMxw/vTNYFrjtxXVXOl9UaW82DCNtJhGry39zhhYUWI+72vjlTvQ3XrvWfL
WcB37Nmo9GHesS6K90O0Nn65SGoBUqurlFEXfDJWHRNdVtiCeCl77K2lfDcLtzePqlLbY8DQUh7L
RSX7xaqC8LPc2saAxQ+X5SwuPeDcqQcFO6VRXS/Rsd2rsDk3EO3rgxt2MhbTvG7kDfQOn9xQ1RlZ
eBpgLwlny4M0Eb7qcyBDhL9th1CPqZ/KAWiBHPj0lVadWo/Wotq5UCXF1LIlO2lyBcsSBw+xwrJh
2ohG95hs2xs4dQBFBURj5CynIOoWcFddF50L1InxUxPiu8n3BQkZMHPgKbmeQoeN2DCH6bZdVtfk
yRqE3VGaZaYF46Hs0i5WJj70VPHqzvZbvaKVAv1Q9G3YiVS6fu2KcFGlydudBlWh3MgAkpJ4wxPF
Jli0SEzshDu7diW6P61KoJrb5osZt6p6ZqFjoCyAFUxvd8F3dRWJuREXod0HksUDWNQ8Ziq5V/jJ
Wy+duFvdxEbwu6H9HA3J7i4iz7r+zdiy5YOpnAyO2CTkks7SwteyTcNMrh2m6GFhknXHQRgBq36i
y8ars87TcSnU4EyVVrwk5C2ocfU8jLQhRypK+QIvju4vMEBv7Q3MMwFuEr7f8CLp6BAfFmsrcusT
2+3nfrAjiu0QtFmCczZaT3YWXeNmzXOk5jRWToz5gkoNMDOp+hfSN8F4YXRZc6iv+6KXy3EPmiCf
G9gA4e3wOH2rbbXzTczs3KcMyKvBnlBXVUEWUUe3Y9+Q6nJqa4zJ+wbqW8Zd02AKX0LZROUTlmQA
c7IPrrxgtBf8/chDnJi9Lv0nXsYn0wwT78tga1jegFZ+CKco8fdBO6oho9sSfNUlGunDLs30GdYj
wA+12vaLXjQgTVjldtCzXpuMt3WFIT/HsJ0HQ8++DNPoy/d2aYdHILt1k+97o68l6Jcqi+BhxBzD
LmhgOFSFLwK2tvZ8CFXzQqfdBJmqdTQ+0jEE9RqJKlGX42CDpwAlljxfzah0Gu168GhRGhdfKrdW
eMSJ6x64msGndwtd7B0XtH7oo74aL0iX9N25GuY2SIfQiw9G7eaD1+XsD+hcTZnOUWjKXAg4GFIf
BRTgfMjXJY0BLkHviLWpzk5b1nA7+xhHL7V6IdlgPZqLDYQ67HTYT9K67SNMNXHo4LNNnU9Q+4/k
AYBwXWcB/vH7LqxQAtRdNM3XnKyxul+nWTV3obSKXrT7Pk9XPkCPYlMWG1ld6YCPn6KQJRBZZu3j
YlDoJPJq0LCkzTTZ1WGkcf1mQBsxw+g2buzAm72NMqihQ5v5yAZBYcwiDJQgv+GgGQ2n152qN3LZ
VOhhP6Ns6+TZZoSoMuu1n6++UTWur4XPdNXFaPD22PHuB4ImjulQHv8DdmZ3MsKOgtN3xk7wGphB
QJ3XsHuUJjj7t5jMRke7X8GIENooBSoV1yeqU78DLxK0Zz+yLtsWhdNFUs0lDFyBhi8SpFc8w+Wg
wFj+p5gL/Hv7U9xT+rj43lTnImkJ/13MhXdtJYEDsQ2E9H+FucBAUb6N27KEQfS/wlzqSuogr2MF
uAm9B7ro76De0E9Q+Va323eN7wCXcqNCWAXjaXquQJrff+Osy6HbweeQVUwZlROQZ9Eu/iOsy+sn
1oGDz2tIl8Chh2Y6h8WZ97A84yEqSDmaB50E4RMr8d0Vf2anm83D3POdkxa2n5Z01aa1KRUbuWOJ
MiIPWoNjctqMvv8nA70qiLqpncPuUW4sXLG+YRXI7VTDFhvWZXKnWavW7+izNUnS5mMdbF9UH099
qgBDXXcuRBOQRDuUvkTF8c13ntnHQx0cvlPM04BReyZja++WyONwX02IodS+Bi9NBSMCUDxWBcWf
aeVWQNo+Ly1CE4vvWDKpoRugS6r+gSSjvZILnJ4GHDL+cewsk+IJXOR/jR+LuEloapWs0V78QB4j
+K/GZL5ensnASJ194435DqdNNlnK78cyTp6dB/+Rry3HlyvixbwkVYBNr1W7mvOBltAi6DyDSPd8
+iytsboYXN28xGzcIF6TZXiYtVyfTB0Ot9L08CwGSzTfrlR5mNHHevqqLAuevFsM/LowOcFfCofs
mxHJDQ+RnhX6STIkDnykg+FploHD9hAvUZhy2FW3y7jcxscZQmyYN6QPL5ru5FP3fYl2nJal+GwW
7iGyNs1+GRsDzEI2Wl70bIqC1KAsgLEX5m5e4MBG9bEzJx8h4EHQFXLqn+OJN6eWVpEV9YkVMuOd
60jWV3b8PAFy3DIUYwQ7BZzmW9pEUMDSJI4Ngadp8zpNVq8+9csoz5FE4NssFtiuMzgt+rLYN6Xe
bE0I/HOdR9TOFg14k3t4uaYM5Y6rs4VgX72Qox/uaQJZw7UxDnwT1sm7tuLLO+fosKW2aqPCodgk
+bozNI9sHmQAfbn3X+paYOhvkgXV4Fh9rBsKiRBVX3sPqpEWPbIBLmJbVQfDQLWDOg3YklajLGHW
LuPlQ4KSrkTn27a3gxDyaYYw8aLLZTqjNGCugOA8zxkNkyA7tZwFrQ9VHLs4Y1IvtyMatXd77ftb
yG/l1RxtKkpN3ftnyiElHRKckhd7tSZforDpkwKUChsveatBA+9ju7+zYg4vKyXIdbCEegYL3+9f
glrgIYJyOz1W++qeRrcIaGZBu32U3QoamNoEQxL4MtordPk9+Jo2gq0lYv2CobXcp48Eo87o6BO2
vkioGfjXWrc+rL5jQCUQfungYwrlJz57PHiwAlgNdx0Ii3zX0/jMwYzuGVlK5lOIFzXBBrgk98yh
twURqt31ENQIAOA9iok09Enco7gW3EKLGs15v04KtbW3wxcRmuQ9rJkS82G/De+acFIPdIbMkRO+
DlOebGsC0LdpqQcaOw11rvgcYkrSNeXNvFnQt1w3bEzrXslnWdcqgWhUQuZgOzFvWVLrTxXqJ32y
CpzUC1jcv+7Mrg/AKu1jtKwKTyavv0K+xBZXYu425l5ye9WGu/o8YKCn0mgc4FLnirDzlvgWcKhR
zUNbTw5+r5Emb3nVoj1u9nIesfgANeVVKHpyiJLAAxWOFwC1SixMF9qQCMVvgxohc5rzL1tF5z1L
tBy+7FBB8KwuyU6zTp/I1ljUCpYtWzM8SmU3fU54vFL8fn68TvoIhkkKdT/Id9i4XbpT0owHUzYA
NoION6douVSocDqc5UHcUjxzMfVwMxJURd1MCJ5+O8g3CTr0hz3Uhqd4iMpPq7OzSgUKYYdpVyLR
tlEe3m5MRU+cnooyHGcuBmdAlihdABRO9OTiB8g0roGYM4GuzZxGZ3WVGnd6ZhmHxFcQ4sq9WOgI
lHV1SxPCiuMUPnPZREPe4ybOsKy5dstgR6UsZUPp43yNt2nDetF1UzQDWNyzGUauKRMc7cg1dv+Y
/oItODmGf+IdTmQfDMVQwGFIJYK+HoJi6BWRwfSFTkSxdse2jc53c8thKpn4Q0zaI93mAwa9xchF
XkmZBdFUOHIJne6GUJUbfsOgBiJ0LI8qd4j8uYfkaU/+RHGNVIBfDLpfD22/+Ql+8C28GrP/b/oW
/nwViUE6sE4QT+hqyQng+WGY32JvxKy/6wtqAn3dJqR8Ww39ePz3o+E/XSUGeAgICDEyHIM89mrC
Lftl8vM2DoWEyJI6AvbaCIwnfv8qVCB9WRDgs0h9+/mzYOTg0TAqRJaUGGyhBAIukdEZFpVffDV/
Wkr4OMhYitBDwe4Ce8nPF5oXUO0ltUOh/JikhBqV7XxYMqxk/otL/dWdk3CwMEKgKUkwvD99P77v
oYMFuHM1jcxDgDnoTQ/X6G9fhYX4hmDGh1sOnNYrTsWI2RPp5r7YR1M+AiZJbngSBId///285hwS
yKYxbhpE+QjpRa+xm3ZKOCV71BbR3O/vwsX6a2hUyblAm1GILlp+E/P5dr0TRQhKEXlI0WsaAZA+
RbXdFppZSEdbiwYGQNwvNpa//FSnoEFkBQi4oF59Qw5TfxBAvEVCQwikjAb6jEdg9OFTYWcaPOwv
Vvlpn/oRv8HCIwQfClg3FgaPXy2+Te897M9M5MPpdFs5vwlP7sQY7SOkl+BW1f0f8P5/jDHhkjBj
4dMhcCHmcI39vAjbhva1w3Q3H8emPBuDAVOOeYpyFir1i0/3+tECZIPPR5FUC+Amhq3s50sF077F
8eqiPKBSZdxowB8VFM/V97/64l4/Wgi1kvTkCUP8BOVYIz9fCkcYLED4uHlQ1pBkayvi3BqCVvnf
L/u/ug4HfY/liAcgOUWH/bjF9hsbK1k2PO8WxhCcgOJyXBP6C8bnz8uCIaCPS0BgwJVAr/58Fb1N
oCPAGeUYP7G3ONwTlPABHQ7wjnXPrleYmTEH0P13PxxDhgfIJUEJ/AHfaK0fz49ekHLZoFQik0of
oNSRcxPp+vD7V0HiGVjmEBi7PFkMf7yFTYuCI4FnNq+F9RdRA3Mpto/f3S++AW2nLZAh84Njy/35
KtHa1bSXLc89DhlMmkIEDbV2/cVZ+Hq/wFVAHyIKG24PODMo+/kqCLeIvJs1y2O7rxibleQAZwDc
sqyK8iFszN1v3zukl3D4NnicUERY/Xy9aDHRAv2b5aQn7mAD6d8m47p+/fdX+fPyg/nkRAPKKDrV
Wa92pX0EDA6dm0HRj+ltEyXs6CIzvStVEtztHeaQtYC/+her78+7xYlcxVaRAKHGBv/qXkpE0lW+
rxn2QrKnsoJGX3KkRCivt++X+iNh8O77Dvs9Iu/HvB3skf/4z//rk32AB8K4ipv4r11MfxV8/08/
0z/+gb97g+nfULVgS8dhBQTxmwH4795g5I4yHPiCAvKXCEXBc/KHN1j+jcKvhMdQMIG/LRMstj+8
wTBJoVaFE+m0X7Nvq/l3rMHfKOsfD1NkG8bohvGbRCE2F/Hq4VCh96ge9Ib+K8HxWUqId9oZA5dq
NLuslHawZ7bvr1C+uvONDuyxZhOsgDHRSCBbl6LV8/hsbD8UI3Lkrog11Q2NG3iItKIfkraeTwOO
Vl4hF3BLBWQ8bMXYhvUU2o97JGpkEMaIS8xsp3j9qRtV+G4djZVpGSqEX9VzQPq0Wgb3hDkMQEDk
jGGICHmEe0ye9HI2ImXrjmAICUdmHXc+nWvjKEhAPhZxFYQZRhXQrhJMVgKIW9VwfprVvbPtCCbP
dVUj0ykO/a3GxOBNNNShuhWjArSn9XIH7KyEa3FUQAuqyJlssVM3ZFGIQ4XGk3sEvoc4AtuSbJyp
vhB+7KE5kekC8ZGAAD2xH/YQKTSAWGT9rld7j1a71EjrqpfgHT4WIjUsM0i0KfXTuG7xATiPQzIQ
DpXMxrws6OAoWmh0r3bpm0zZKIYVM+FHhr7xycZIKDKOgDuwLkGpJ6cr/I8mK9HO3Vp4o9MZOsoB
ZBFckH5fishisLLiS8UoCFbLYopQPsF2m+SDZqCa0KIuBOVACZ+q7b4kE7INQF/hC0Y/kOJGQC5M
qncgJR5ag7YPU/hDm4QHqB/X01afJXt8S5b9AnXpXzEPXSPpgF9i5UWjwZX0GFEfACV8GPj2Zumx
XFCLYTS+HRIN3bAktkc2y+ALKE/rTRC6826nSbFbDVBCddnswxFwUbCnodjrQ+Ow9U2TQ+5LoA4r
2diVDEtM8XaTYYZRkFY9VuYNVPQn37ZXoGVpKuBxRXBNDLsspEuxkssaLra8GRubCgiYGPde8KF6
IV172Y+jvB+SICey+kiT5MPMAGdsmJhjwL3EHyCeAvuRm7xHS9FmYNsQQunGGiCF/djWi8boXuy3
avqAoWFzkAFMwU08KlxavWmrU8SPjNRp9P2I/I0qX0vav2n2U5Yjwkof48bjDEuy0UOuYoG+2evl
CA/sGd4uhF/Y5cZzOJII+FEQjAjP2zDTYRXLtN3We6Qy3XAbv2u2+EIPE8K6Pk3RrFNSL7AVJZ97
Zc+CGLZ5o+5E1Tx0NdQWrJpe5XOkr5zg1/Ar3XgE4A09PtLeHeJKncWbTy7gGtqv7ZiEZ4oPWE8F
HpxDKSuNZMd5vJ91PV+Pvr5ygbqWFskesXrrMT7fVZ2XsAJBMdGPwLuGTFJ9NbV4qJ1em2NNqvdB
MtzPdT0dwiD41JvxbIvZfFfVCgogH+7qNcIn/Tq09LrqenaMoNZiAmomrCMYEN4HrA9sAd/UehPB
OsxSkMH4vRayjA/oLyMO5o3sjxguyxzW4Vqm8AXP7+MqmZ9ImbhzKhfQSPVCkUi0t1BXUkoM0lkB
97rLEF/Dod+Fe8/IHr9ZEJVz8IgVsukEc3xuMfWHSogyEapssBSMJfiWEL56H5oNLmqQGECi6ql8
SPZmvFTSJx+RIKiuQmfrD2YYk0dfRet5FPIxn6V2V0ucdBjzK/MwgULpXPveB1OYbRF2rVSVo7+o
QtuDcY3lYaNR+KHRYrhMmqj+DIaDfQ2Mnp6BaUxFNcnpPGi7ZcksH/cPi6YGMGK0hmu2lchGAM+x
Vk+DS+gLjSsOHn1S9DqZ5TvWt2Oum2ScjyuE6zbVTQDLDpIhPgbjC++1POuEia56FVRdhnxMwDC1
mgpSTXMI6JNi3Xtaxsc4jJePO4JIQX6PQhVLHbOXlnMl04D27dWsuvaplcSkGLS62wCEy6OZYvYk
2Dhc7mBBX2qN9CrQ4jE5odIyfsa0jCyYenh+5WyMJ8nO/mOPYMkhQ2RMCH1vN+BX4GjQeQ04PQ3C
QRcK2TsgHCPH6xObiODepXM9DL1Nbz7LJOCXGJEiMcaUkaIpnfCQlVKUdYb0LvncI1bsPCxPE86y
2ue3DJwmxMexGq8krd8ClEfNq+UYR2lDcJ7kK50D6I0NsjBZOLR7Orfu6wBedgMtvQb5CP/lGZo3
PCMrq+SZVz3wDp6AJQd60wKiAhd9ZpCktxL6iCk4ogvAQxQIOOjf8C4or+OxbrvMwDByhnQOeJjG
qjrKyJhr0mn3FM5kOKhwFg9yHINjgEbpskQUwZdQzjMA4pkd2hExdgMqhFt45NORuv7tvGGDgBAf
fGW12DFVmav+TgvIlntdV2cxmZIvXPvywwD7KIIVBrOhUiiBvSJEsAcRBXcslM+BIDZwQpSE42KA
+QjUY+F09Olbcfb/q9Y/oir/max9stL/67L16uP/OrqPbWM//mjY/57l/YMJPyF/Q52KihO8q0Aq
PoNk9EO9GuOn4tTqUjAs/6xXCf0b/geHuCzgVcXkH7/KH/Uq3k4B//DJNwQA5fdybEj0utuB6A15
UzAYa1AvE4Rb/tQFV85CHsckJOeruEQoSQwukxkcrZjDIurZOgxrirmU7TNFjOLl/7lEISfbybAS
LVVw+JErJHWL0ghyE1WwjHSYfzQBYvvSKTEnn/ckMeOAtIu6l4hlw3xJG0mwS554wyHu+x1+53U/
HzchHJpqWKLSCHfovE6EkQjAtPMHgdiZMkfAwcyB6vuBHqIxMiSDyaIJTghp7vm8fm6AqB/NUpoZ
LN8rPHFz6/YYxztivnu2NFnQYdKcok8NXyA2L4//LaxI6A6zgG87RH7RWE0Xi6ka5H37DfyhC+JJ
Zj8wjJvW5iuwMefy7yDjit63xQaDmqoYk6AMLxAGF68XmI1W2/E72TiQsWQQ48vurlcENRdb2gkw
FRk6+LFKVwJF/0Y9Tg5F3Se7idFdenoK0vsGQI62ojvcLIj+jgfoFlffUcimc2V/hSgjaTJDEFSS
koX2mRx7YXMEmDokKrbcvmc24o8+VAKNBAkNzZGcFLybl7ndC1Qe6K+m+RQFJsK5tGfKgfZFqLDU
tuAGOifyoOvlZR/G7XmzXdkCUKI7TUvUK49dH/cSqgpbv6KSmDvwsmZ8CHXkUGQIoCwZmi9wYZgz
OWR+WnDvB+8cH7O9Qdb7yYICMsxsUezyPiTrJyPa5rtU91ub8v8L+WLft9eTP/Rfb8x/euXlP3f0
01/8u46ApGBkdQi8pCQmkAYEdti/78tICqZInODQijneDEggfP6hIwhko5yCUSAxJBLg8sn3+Me+
HP2NI18YL17gMSYf+DO/FTH2WtL7Nmj4YbDxSvz6rwcbf3m9H0YOJzHuB9H1vx45fM9z+EknQV4J
biWGpxgSYZzxSieBL8uRUTv4Hf2+t9fD6KP3DUfEf4ZMx/6xRYgrstLRP7/fdGfOYaeQ91AZp6+N
QwWfhYFHtCLA5xHdEJijD0xR+Ov2wK5gEUZLY7yqgQTPiWhabPdi7c4jeM+ivO7W6s7QXeFFEWWJ
6VoN7i/INHLSr0jpcfaNrsW7ImAWI+eBwBQ9m8qmvXVdgPD+bRFARzH5nvYCaVT6A/LC49OoH/m3
VmzJkpqyVPxQ9wGmhgpvtIBB286WHFgr3AOLA8AVYbfNC2DgdoVSwTbz3Nt1hRupMSefK9uoy5tu
qnWGo6XiV3G3lVMBPQBZ9NpGFGn2CHYcjnOzLmd8w+GARjbC4dXOiOU8KMxMaRo3p3cg2LjtYE4r
NxUGh22EYIqbRRAEBtoL3qlxJdHzyOn+MiYUaQ2lA+SUxLW5DkjX3A8BzsQThk0u3dbL7hgLDwPm
Jlxzi4hSW6f7zBZaBN51MRousz7GZvMCJbgcdYEEZ3kH4CpK0pDq/k27rvBuGcPoHRNwLx5g/qif
qr3UFd4hAGi748iJOg9CiHuwz1WgSZjsnwmsuLdm6+yeT9ClEM8vq8mcjc04i2woo+G+EppeD0Pf
d3Bw4B0IBwkIsyomQ2PkBpU78tAkgk47vNCAIQQbmDiWzmo6IJ04hlRzrm24IDAZiO12bsA5QksT
ZrVHuPjDl6CZS1WAtN0/xOPu96LZmLlia9f3eQhfFD96xH3VGTBWkMcxXhryMk04WYAxsQhL1Mry
EaR1/DmC2xDKBHgYfvLHBGdIBLEPJfo7+KmQpQxARjHaZDhmtzeOlW4qjKWNAvGMV3ZgcrXRSyIi
NFg+IHN7LOGdwRthARfzfPA972B8df/D3nkkx42u23ZEUMCb5kukZya96DoIkRTh3Q/zA5jNHcBt
3SGcib2FVKmKYlVJUafzIt49nWqUSCINzGf2XjuTGxeL55pljd3uQrpihIfKlOKu7Nif4qh0hILd
p1PXAOVCZRkbmPjQ/Ad1vZKFJ4OVpUnnc46/1/K1tKeV8LxaROtMM5q7uB5NuZ8oBXQ/zkIMr4qq
8F/oejqBBanh92kVS7ROoQp3Cacq4DpO3J3KanHgnYRI9MfQTu7dgnnLmtMKxQehBMRNUHGm2r4K
i0AF2ld5HkSxGDiEarWK31NBuGu1tJDWTe2kPqqmV0JATNqpvMA90g9LbZxGqibZYnVzWJE9jZzV
lxWr4W7t5nMTyKAGfo4V5sP+m3QfT7U6MupPBJBF9Q8B/9S1eEKLqYTc23jhdExszFH+NxV/xXCx
WDaVrZ7bXWsEBJt4g7n+JuhvrMooV8qAI131KqAbUGupuoJRj9F+nrT9hpN6xH8YevOFjTjTpKAZ
Zm1IqKMn87gLvH7T+qN8d7ExOwUEBFOEfJxTr0dAkDP9kIYjI+YRF/R9H0ACXiQR+p+lOrY9tYaC
20INp1FseWflfNs0Mr+UmKZ2qVe6TyiVGhgdiTkOV2nkZcNRTxOCE+pIS+V2ssLgvgtnYwBdZKfj
yio15IVdOLhi4aU4wRbS0+Js5Y40pH4jrcDbhDjyvkyeYz95XoGiR3N7vQVCFyCQtq0pUqnzeDHX
YxNiJ2By6xBNAWV2xcmMeg2DFvMqUXW3DqXlVTRZgVhgdVRflcKSl2Gtc2/tcXc/V7k070y7dhgF
jGmFxCxOVGNRcwe/aEVSPXuhylSZ02W4HVmXXWQI4R70mvcaOKMMFypgy5u8qnD4JN04HUTUldB8
zfEWqZLG2qxRLQvJolSfS60QJs4qPhdG7j0X2hC6Iw+YwTKekNdGX6yoNF+TsqoxkzMBI1EobrM9
zK7gpc+TsV7ZCNbxOFqq/Vg1WYwSyuzc80yxy8aHdN6ifkXcDl1c1QwA0RhD/RHms/RDdLIV52aq
Yv2XNS7knruROTa8xI5NoLZM8hT7jSIaN9k2iT4pi16W1mvn9T1mJxEW/MEyr9SzUjfeZt3CTWqN
SrLIsgztIcYXnhBulG4aylfQvCZPAj9HTHWtOHULaJsnt7qE3Kc3qzRp4ovcZmLl67CT70PiZD7b
puxnlXsOvC1Qqq8imPK3EedKyj1sLNtlnRr6Z7TA5VbzignTghUjdUqTOAfGPVgzBhEO/HmE60Nq
WmXs2F12lywUmNZDySgK7gNd8VWf/cz+f8YYcwz9+2GEYbLU+lmp/KccvD/2br/97vdq2frkgN1F
agCZ68etGyhBBDGkilH2ut/Qut+rZVJoTTLlmHp8B/n+Xi2Tuc3UY84HhBcExMnW/glJ8C+VeK6O
W5olwjwb+VAuh/3/YyUe2EQK6vflLzt7W6NZ4ML3LBztH8pfnuWTkuXjtDQtmVgEUmnj40AZjplN
6fM7nTsDV2+XwVPXotC8wtMC6r5wrOjVlrmcFlg6c0mtWvbeUkcHjfA7bLRmZVeo8LEduKyg1IRF
kN5HmI9tIArk3kwmjh2d0QT819IoWF8QiYTSAo8Wg9UmOh9LnYqRKC5GQZnMsmBr21k3rRxsl+HK
cmDDtnXayUWnQowN9a7dY7oRA2Iomm1/EkERLpsR8r/fmpner6mYvC9ll8b7ZKgbY2nlA87pLJpQ
+wvUcK3fxblIyTCY2+zWKOttlMAzQYsUMFyYDJC6chLeuAzqfHocbLvHTdnwfPYtyi7FF0Wu+IkE
IrxCXqlu8fdUw9rucs9awkQlV6E9hXK5ZjWxfLLQ5m7oIdQzgBYZsRpOw2xiGKTyypDBcrZe18nH
jK7vHsn3C2Yf7NFN1VhvTqRUKPJ0vbZWqhr0xKnUWkX6UowfwAU8Ey8725Bv+L+cW4WsDPyeah2S
Ehfl2YMh2wnuVZEGL1jFtVf2CzzuJ1HI2od7ER4UtCIlUBD4zPtBjaqaqLLAaxeVVdtf8Vcwjwfn
Ce+l7/AAXExuSCdiqoKnS1lmITVmWh65W+MJBD7FZsOxhUVKQDE8NVlHdRnZg2XtWUCCwCrwSQNT
VO0btJl2uqiHurtrpOKqjMlgEWKhLa27WvE0epFchxDSTXZ4wUmIED+eQvOmqGM92QwDEhE/UzSs
TKTD9deccZG2bSYbiC7KSZPUChNrno9yKrhVkxxeD3wM540BDp1emkYAlovovHfr6GxqK/uo6EH9
CJahhMus4dsvyzp/mErm7n4qDF51GUZJsB5bg3GOhrA0WGI2GAygE2O1MsrUWr/3qGVtYT8EMgX7
/rtPzYIFMEMokuDwzaxWdVQG2GAm5+rnjjWHyKq1UscuHg1dQiZ9b15rKKWuanTpYvHOwdaSTTYn
gNi4ETw7vdF1oP/YtP/ey5azZOBZOThquoySvE53wsJV7DtJJg/fzG1JozRHj+0KXSCMFpeO0Gk2
2FBHY9lPRhz5tmR9SqFtMdGdZP9oD0JealM7cAk4Tr3vYgNmhDeZ7BI9Q59jxdoUYJzIikWFz6jZ
wtY2DsUQGypa+Q5tNVKAoFolbegkvqI5wWPnBtiRmm7IcUnT19V+bMGaRved9rRpKEOqZZEWjr1w
8LrTLRqlPIfioj1jkS+eIlr+l1Et6FzfPcR+09X8AHpkrPPDzfWbMBtN6UmYbX4ca2OUtdIhEkiQ
N+RILo93wX5a9Av8+9fJ2esvDqb/4mAfZHJhCl1mSjlY+sW9Ytcvr+VX5brf57eiXevbX2H+Po7s
eXAg9poDO9kQkLE7v/d3kxqILxkxgsiiGlcv1xAbjN0AO2Mle2X6+vO39hfPKHReKKFAbznun5Tc
9TQpuVQz1vbBPUysnZ0sHecGuGGcXXh5usW++/MDzpO1P31xlORA9BAog/6ax1Tv3lyMw0E1Qz7L
cpXtvBcMmcq9eVm9jp/Flgike3b2Out8QqgulO1buP7F4Zn5/fTwH6ZgRhXrGJyrbBWfP5cbZ8WG
e/m52Jz9Srb8JxLpfIK+f58f9i6NCYEUkkK2Gq8AdG6GhXM8GH6yePvFG/rTWO/DcT6cmyQ4lcIM
cChoD8Zlc25c5NfxVTksxUW4oeRXKQ7IuFu6W+vx50f+yy/yXUH2obyx9LwAKc+B+2Ylz2kVllG+
LM77Y37/8wP99Uf57kgfThmqk6lNTT7KTiymfM1k8Eu6tzZheNZexzc/P9j8/b8v2k5f27tjfTg/
TERGGnlP2Sq7ZQwRwK1MgOL/4u71q4/uw7kRalFEziMHUW54lK3NnX1jP4Df+NV961dv5sO5oRGu
Enshx4nvYgBgK3bI0GhMKM6r6cytl6CCaEKZJkQLZTO5q+ablv4f7Sz+P+G3f3nNZy0QIQYfOrBv
+4q5Xfn7fYVPUGNcfMm/iD8y2P9YWcy/+70Jo2myVGxGqm5zXZ+2td9XFuYnwH26xarZY4TlzfTk
31YW4Nxn9LsHcAdPJasOHhi/rSwMIPCeRe4h2EXDQXJt/pMmDFXuh8sDKTUSSl4gzyX4ytaHM2ow
pWYw/SDRyOiuwIcQUVbWw7q3Z55Xmj06JgF/UsLXIt8glZp+P9Xmuk7q/JW5Z2YsqqAU2ayLAj9W
WkN0L4I0g0cTkROkD+bdNATyRTbjgBOzG3CPu1VWWvinMnMXTo6urRGsYMfCQLquGX0c6U+Ua1gK
w0ozavuCmOn6RuMKW2WxQ1id2bt6usT8kK+DzI36pSKDhVZPztoAhLUgy4l6H6YROvXCh87T+a4X
hUc3DIOZs2ePB8dD3enk/VUeCIqNPibUyYnDrZj0dtNUWnvkImvXfeTZF6KP9/nU7ywRPZJVeEQS
vtNQUUEFIVKuxYyoZM+Ti9yvz5nNV+D0GmV4GaR9XaNMN4gRo+GqAXK0/cICpBRE2Rc7pv4mnCnz
E7Bfi46RGhBMmW+9Pkc5HTwaqXpROf0zMCEIwBYinb7DQ+6hgSFL7jzqDbGecmPXqaACK92+w7Z4
3wuK2GAoN8AaoQu6xPu6ZM+GpXWmi5CwawJYGzy/7rRjfLxmwrbIRHuWauMxUqbP+EWegzb9gjH1
LW+eCItcV9N1m5uLRpUHl4WJJTYu9gFM1OuiVZjgo3p190XNMkdoRwCYKymZ1KrTUo36syguV3X/
ImN0PJqyArhyiapyPXXXYaD5Y5VsNQumtjns01zpEVSilS2iTZnhDIvTr3gMto3SLRtTPbZhf0Oo
zbrCs4T5NznatBejGPwQKpoARrJKcD2TRR059DmkTyluXvA9KD2BvrG7nsNvF2qbnzGku6pbeW4N
w53sp5d8TEG15LNMcKCqFmbDZ26ZX+v+TIt0UsLzgWkeEigfKfkaWBNpt61dvJbKEK2gJ0U3TG1L
7sG6F14iPIWgjAP1niaRLpHu7DJ3KmJvRLDDB5kcSdXJ79VCYCUN6wOroBwzthi+xmiaDhpMvxQn
uxTr3hqn26koOH9xSh10g48V4mEKNUTw6GJBbVzmg7gzZVPtXLOVLNur4b5qUT+SEqdhnR0jq7xm
MIf4scfv64Ovird1NysuI+smd8uRW2MB+rPQrPqc6Xt1BEZaoV5uowshY+OaWSedP9EwwcFlS7Ts
Dce+gsBJjCfuAvcyTeTMgJnaO4zS7kJK3Ti2/dj42DnrA6AI+wk9WBGtLXAVO2MMxVoa4efCKCOy
g1V52clc532l7Ve+MuRltRDb2Eu+jm6yT1Nvz7Bkrec84UIP5gs6Mkx8BhkpBJGx2BhxqXGK3daI
/C4JnXG44smHbFFjSkA3RWABZJj08nLEMs/fAAFIw9MNxW1ZqTbLnJ4TXGhgU1jzsyVeQBSpTDaB
ifd5LqK/OEHefw4YYl6LaqjjpR7E01ZVYvu2TaMqXNAh4rGv2rh8dqdQFMuhzPDhjgULML9OJtYI
OON195goTkNGNRJc34mso1HqDIDt3Bmdixy7sA4exe02E3DCvWvhKl45zqDeNcgnDi0qxocxbNVy
1TFrXYdw+8jMazlw0kBXqdIi1lBp5uGNWQ/OswnB5IsSW97XsbaYMYyMvT2lCS40pjjeIsNRxexA
K9xFHY9iKUUwHErCahDS1oG3BrMGr8m2ipeiDMTNNIyM+glFgqQaBW89IprJN1U08qxJosBj1CX6
OwvV8J1XOMFFHqhLL83aLSl13T4W3ZtQkXGyfRh0lpXOdMloPwAjEIDag+odEGgLrisgkx5oYQps
6SUIXW/HhCZYF73Zb0AyiU1tF/k2bCtxm7VDfl7kobMOOq96JvcNhUxVy/5mipr2ybRL+6mNMf87
ZlrCYSUMClaLYp+PgKf8hAkVLYpWTcecB8/ecyTrnYz14pmsPE5ogjccd6yJmy+88ah3QXiAxZfd
5CmZd3WXyAM2oLHywy7Jb7i5ZBuoduwdrTYqr7h/e/uQxW60CrTeuiCaqn8FD+HsU6Zhpk86lXtv
ZMK4hjsXHFI9AiSU2k3EvauWl3qgcr/uK1W5T6xsvIbtYG+TjPtFEyFtAKpkpIfMguPbQi/sWE9r
XHL2WC+HVu1vh7qlVh96gOLQIqZd0iXNSmcHcjlEE/u+MgEG6+TlGdG0kr25k9zoRis64Ga1etML
oyGYqAif3JqEcKuBDtK3sCwWdaY2ULuS/M4hGhVbTRcEt65eAa3Tmka5qd2yPOjSs5d6FXcPWVF6
YFm5NZyNUeY8CgQ5xjIRXs64qQnuUKaxy8ltKDyTq5yVSXkNOdQ5JE3bbiyet/gckGAbTkwMfWvt
PRdF08YbZK2QjGlqII8s+BI2i8qLMBy4f6aQPj67nai+gsaZ7I1hVuT5WhNuhZSNCBY7zkfhWcNr
BWwUCG1gq2+1p3foDQhX1Bhp7pTCaHeMx8iEh4wYEVgitWKjdIo4g0eE2In6p7hlu44fIEQcuwuD
JDuqLKNeA0OOX4rKjIqlE+vGBcRCZ804Jd6XhK+eu10aLGkN2i17QncVE9IukI9OI21qbnXgnhL4
q6hnEcdiQrzsrEi5IWWEbKhsgNLKLiZ9CUMvY7VrgrWbCSkvdgVTuI0q8dQVXrzTw7pdtm0s1kHa
izPC6M0zVY/KDbiC4SocYeuahRvdqGXAXDKy9Ds2iMNzPpE634fODk0d8FPjArxN8lDwZFgPnP6f
88A2hiXD2gDCW1fgzG2z6GYwykejge7H3HPVVOTOBQqFnsx6AIZ1MoSwwSJn9OOhjPGeDMtUBeXZ
NFuY3dVZ7wSHKdbP9IKoscqLqkMsFXmjunXTbNSWD7mKUFDksVVfk91MonAo9Eu7sUvSPQr92m16
56KHCYewXgztPRv66FuiyX8anHdKWZK9UJDSCPx9f/N/2uxf/1W08cuHzMfffvF7c2PSjNDVsA3B
aP9NDPu9ubE+YaZFJ/tNVnXKlfitudG0T0wRHXaj6LQMfpcm9w+dLG2NOicG4SHziG36B7auvxDK
sv5CD6YR+WHpGPR/HExxWUtk+l7CjVABPFtaWXGVDwg1Nk4+tSxGDISKc3RwPicZg+vx8V5Bpg0B
km0GoDo91Nk8fTBzRRt9unt+GjZaVK1gxCfxrCzod4E32JyObD5ZkMvJTRD1o0jaAxrnR6bc3MnW
ib7CgbeXTW274xJeimT3MPSjsmDwX210+kPdn3iq6+g4WLd7Jsdd1G5RG8uOhG/sk9LZgfEw3xqV
VciCvkfV/DArtX0ocH1gBJjUdZVILDdWL++i2muuwBx6u1Jvc2bMGQRdpHE4ZuzA1lA5VhmXPe+i
AlKbpcFxqGReL7tehvq31Kl/dEX975E5mpxkf39Z+V+bL+L9tvfbrGH+pe+XlI5akRggmn7Vnbew
bEW/X1LmJ5KWcCeyuJ1nre+l5+qn2Vh+IgGYNqc78+7fLinnE/9g4F7kqtdm8aP+T64pVrMf5gWo
zx02fKjckQFituH1vZ/2uqUouyyzjaUB6/F5Svvk0Ltd6S2kwumJyTi77PsS/qAVVOVGQPtAHGWX
DPoiGXYqJrKmWRUNxQHTRiwxTRYBRp99Mgiqy7OukdlVm/cEJdQnV01bIyODAji7bgIhjLdBierP
cYpTaOEIZOH+cHLrGDlar4RAebp/y01WfUSMSyiw+GSz2Qe2T/QSzQagge3ufVLp4RblSn+Io4md
lJydQ10aJbSF9vS5dFA8UWJ2B9SmECtn4xHXmP2gGmZ0j7bNLX2DKxUKHYYlefIuNW2aP4rZ0MTG
r1ui2JIrMpaGvVFUbBjEbIJK3AH4N2He6UGdDHo38orutdk4pc4WKj1wcFMZqdQp2wMxWcCyCyRZ
EUT53UTA0mXotV/lbMpST/4s9DLesg1i9SE/+bdCg7BJKFWHoGurlWU55o03YgXDIoPpy8mLsFmJ
2QoWEwKwVVmhYaoZhy0dOUHtdfni5XTPIVDosyx3Ehg4WEK7pZY26ZldUhwuNDXylqAHikOfzj0X
GrxoJfoMEFAJoPpROrlHbpHNJxtmBTG0iVF5K2GG7O4yBOli1DdeYzWbIWXCAg2QkiTPlqIcVzEO
GpT+DmliNRA10Q/owm25Aaxb7CClWi+1lxa3AXdXzLn6lzq0AL4HyhF1/NKGh4wztLoC8lrvI05i
9ny2dZ4hd/fhLW61UJx7EvWKi6poGzTaJZMY80Da+RaD3Hlh9tG1Z6Q7GBfTgkZzWuTedM7gZGVJ
43Iskse4IflAKao7EYXpukCOekv/XV4qYRZtXP7fymThfk3zqJv0rLwjPH74Bs2izs4EYrZN1KrG
m2HmoLiAkxbbsrbs5Ts+tIUk4OC6gX4VSuGsR2ljAzQ6NKihY7j7LjGmi3fE6N4ogucMLi4R2M5F
PIbjmQY9aTUmZbYujP5GTe2Aj1aHidqQWY4VFldhXu8JneNV63D4a7u804T0Vh0yQ+Jn26Vlv/XM
lzZl+1QQPaD0wrovsU0tQhduvOW1CQDXgC3doJFEbo6+EgBMrhRnerFSXSVTHLfk0h6YHy7cUteu
9aqqvpRpq+DZKrQt9Lgrbm8bV3EjaMmluZ7UultJzj4/0GAYRvgEFpoBRzqtIzadzAT5h1xsDC3u
NqYRb9mPNj776YWWTE8mCMdVTquH7z+G7tuD73Bw0eF8K1ZU79haS0/bpU4VvbpTiv5fm60ASaXF
n7XeZLLidlrOgMSN432tqeFOiELcumgVlm0WqquwrBBXTGaavdSFkrwIHewT8sx8WPP8NBoc2/kt
NsLyOkUsqq68nJaigRgLc114fqTo/Uqw3UQ/URElIY1CkOle3AQw2zb5EIPFzp/bcDwvez07tMzC
1oZkIBrRD4EFNpayb/VDQHnz2QYtv0RNm18LVSAFMBXNj7JqF6vek2VW+zykCBndEERjkDyOnplu
Uh3VGO2wvbdLlflnOe5bBwic3eIQN0sPp7aML0faBySBrJGRcUw7t2Hql0d17fe6jf29rKuzpo0e
pzyprioPdhiz0XHdIBJdsdH3fEHmzJ54IfO2GPRug4lkxT0wWlh1dYzwvm8gxMRbwn7OZapvSKq4
z6x2MfXBognHVWl3a6Vz0SKI8Swg4sxrs/qrNDpw8sFrbJ4hmfKlo+4hW9pLmUNAJCZpFafG3mzz
JWS/m3h0jyDZVg1c+4GZXkrKJWEdL4M7LEvlTSjiKavkHInsfAbBzKBl2HfdtrGwMWY6RDqL1Ldk
10/xNu3cK286jla9M5Jko1VEJY3tEhQ3iO58lXUoxwutPBvK6Syo2jPbVtZZnp/3TXSL5f7WCVju
chXiRtnVtFyh0T5Uot8xaxp9y/IuuD+v5miStKrtfQlh3rOUzyzhwdNbOAivpc60K6qvJOLFlaUY
Fw53JBPTDjqgPb6ZHaZndLPpXdXbV1MD4peBZ1GbRwQVFW9JPOe4k/Fywq0bElTtFX2jclUhP1jk
pv7c9/qjVcTXjtOD42ijfVwFOlDjDN+Lptq71iYACFgc+Ax3n7SXQarvchTwDSYZn9PzItKwaqb2
jk4sX4yasc9CJdw0DROhERp+B8oWYfeKpMx7GtF143AyQyKIFfJgevBEQElvcyPYMtg5c0Jt1olu
DGYBC2OeU0tyX5Z1I8H4FhUjEcQNV0TsPNE2nFcD+dyYZokOzE3GIaa2ogk5FImKWDnLH0Pc3Isk
5dSuO/Ead7sYaPZCw6dNxWIteBbdZwFDnziOXhq79ZZ2qqxyzmenKXdA+jjf6y0ugM2Y2lAf802j
pLM0V25mfbMd19i1Xy3gkEZvvFTAD7ddPp4bbUOiiXomCLNJ4j16q11qobYKmDghgDpyRAJSLnSz
QsOEeIy8zxYwWYm8X+tgAeK9IhkO+y3k7J7JuIqu02h9O452jE5uoIltSgF9oBvL7C4egyvsXHdW
386PKJMtCF3CFKu+0tgHvjZxtOAzcZ/BsG8MT1PfGofeZNGhojZfQxKzV3GCscBKzRXiotY3DaNb
QLO4G0wTkJ1Eaq43WR1giMoqm+mdwTxwEEw1NWy7u54fB5wQp+lGnzpnp/d1f4gs6PnoeWkV421k
M/X207o0P7tVoF10Noa6jdHZzdHJR/spYAhFjHtukbgum4AfhQr/gIus2uZ91Vxz77TxIpee9TSx
UTvzbHIKQtfKrGU4toQxYrU81g7WQD/rieEO8S8Y29G1xbLISDERXDhrYIMjW6LEvpehgwQ6cDyq
j6xyV0IDCOrrU2U9YvZSzE0DL6daTAraDaCsMvjajQX9lyW86Jnh23CpBfmAZsYZp/tYH52HMicb
aFFkUo1XWhb2F/bAH4fvZBeLwS1ZwcrQjfcoXXxG0OYZKS0oAp1RXJROwDS1zIt7SA1iJlEgDEaW
/RzXunjLOi3eFX037iNnsC4FIvRdbErUxWi01UUIYlQ4Xs3Kos4OwRRuqeLkbZe2zi6Lp/Yimfde
maFbS4EHYEEHrlDaUpc2a1cCJc1du3uYHBltrapm1yAlKnURpwdFTtmV15VjsiMEDNEamPvuzZmd
5dXsMQ9mt7lGAsTdqfv5T2/4YaU8917oXH/WGi7K7F//3f/YHf7+a9+bQ5a/JlQl3JDshmed7h/N
of1JQ2ZDzq+H6cR+z9HBfOyCzwFJZ2osMrDu/N4c2p/43zhSiTS0DR2Y4T9S9M76kB+UFkyBsDfb
mukQqoWt7sfWsJzC2NRniCTU1uAQtVQmQmuMRW/p1ebdZ3P57Y/+oBabBRU/HMvmHdHVYrgm5RLW
1I/HKswqr+MIu5amBNa6akEX60mQnxmCNDWXfZIv0dlvgjKWlA+DBrOORwO5FjYxQNa5lo+9H6kd
tyEd8Tuc+9h87TSh38dBO65+/mLnlvjH18onTGeo/oa9/CAO+QN7GccoOkVBSfVvYi8NOn+i4cGW
gX/78RNRzbhyMkfJVq0hklUSOBXBAvnu52/lo1qAL5eTDD0lcz+GdPOp9L7778uyArHFQcLwoQkf
s0Jf214IVGP78+P81UdGUjBKB83QUEjMr+OdpmwkEZFFGrxLNYynG7NznWM1Qhb/N44CfwcVBQgq
ppE/HgWhbz0GdZSvXMyJ5KKxfnBYcP/8IH+6KtDYa4xK5suS6ctHtpRWFzLlbpqtYKfHi8YQZ3Hv
3UXq+It09788jg5JbqZoQQeYdXLvPrJAKSNHJ/luNbCcwZBOKXLfpL+iJf5ZujW/nXeHmedD7w/j
hEnTdxyGBrJ60BB278eqe2odnnqFZn/FtXSTj6NNVTNQOvUsu3/+eQJm5BA/XE8OAwYkylz5OsKa
j8nmRpAmZuzg65G6iSEyOJkj7ZpgXDaSsqOs8oSo2iVcf4LdmJgO9bohGK/cdCKe+rNYqUmKCOLw
Xgm7GpgLHQXuH9ovHpnGaPtDhmrHrzSDhbDsapcVcSDpSscsDCnx9Ebi46FOk4wriE9eaSkZZXzm
k36Jn620F/YwuCjbh0I81kEkb5wosatd2oRkrJRCe/RkqdZLxnyz/q0bOyYWXZBAYicYkvq4rrvn
ptGacmnQSPeHnptSRCAIciJfZ298xTzaGQjxUNrHoI+bZgcYxpoZJLLpILYLyo3KhJayIPma0RxA
piJe64DQtz0B3SlpBCZyh6h23PlNJWrE6GIk6W900CSsJ7CjnycygQiDbsL+FkHQKggqSOvcYKJ9
xwOKZsXL+sOkDqhKvEFrLjF4IW0fiaDBtl/ogprFSaxLRdX7Z7YRmr6GrONRK6dRye3PY94mtFIi
B2J09ZZFo+uQpJdaKjdIB5aXU+fZsQbS/aVum7pZGmPgPrZonCEmKrGGmGakxaRIo9lnBIYTgAA9
VMnoHgZkfkEtL9RoEuWxP820x9N8u5pH3c1p6k00oxn7zmkaznCFyTiDK6bkgxzCr0YaqyHk4Hmq
nveTdZufBu4TLJt8ReEY7lO3o+1yGMFcO27IHszt4+6FqaRjbbSMDs5jzHY0KEXZvr5LYrLIDQZj
GiHsWMRserGCTYQzLm2MkbS1uo7nDoFVUC4DpNvuskYetvsW0ASWFSRCpnTN7SmlqeC7MnfYBOVt
riPthRv/94FNMZ6DQ5tUoHMm09ZiCkKpp+djVovXBIMZibfkK4GZqlr+ksUJexRC1YttzOrB8CMG
i8LXkrRvtqD7xSKTYT6uZKaKdqGiV40X06iBUuhm8yInhxrsGOkkla81ev+YI5OAs1ar2QU/zH1B
czN1GzFcVNZV4SnAteapJB9XdmMgVov9kfVQ5tuqBKJFbKejLvuxjd6KSShPwRixqtdkMz3FblEA
kXcNMRJYaivU+Skn374OGdzujaAlhBVDKRKGpjPgTIyGFQ3LzBTcGCgNsk2v4V5ZRlPSvOUGi6mF
muoAOMtS45bA8v9hYvvINV9gMvSHMOBoRpriBG+DqHwKvJHWwgTTHzDxExqNe+LC+u+UyU+HOX6S
LfaDjX3mPoxG5S7QE0PscLdiIh/tBEdCTYO/0cWIfqRhxFER90EAB5PM2fqMUAIbtPhmiT7Zo+2T
VTo72aYVp9KP2eylJo22cZG5hVisRT7bres8r6dlFBsFbHf82DQLFV73DJN2WpUtW+O+Mq+Jk8PG
bc6Obv1k7q5mn3c8zJZvFR3BlU2yECmCg/QuXTZVLL6woEP9ml3jwclAXhhqz9aq1FCcErIZXyAH
odDqUDYSjiToirOTIV1oZnRjzy71KTJpcMOgs7clKXJvxexnPz0i/lFb8b9DpTpXeT9ZN0Xly7/+
58/7pvm3vrcU9idVhbOMnBSygwdB44+WwpnBGSr/BnqNJ/5s0PsdqQEDCTrOXNfiDoZ+/ntLYXyi
z7CI/4bLAE/jH7YUhjNXlO8f9vwB2gmVBwT+CZ6IHypOy8swy1mVvrS0PFc24mR3GlWjuyvhRWCC
mv1QReBgMiKDTFwT2+tgmHJRizCfxkfFWABE9clc1Z+MVpboyiOvIXwABYRIqshHnlwkfWfjhUTT
ih5rrJQ5RAUPF+lUzPCySMXaFeWBoexFjqpsYVZueFBPRjAqAcVgraBpr2Y3BS8T1v1qQeZ29tC0
VEmLqSoUhYAPHGYsToY3iDfYzvKTBc2w1eoV1VFWry3StKtdrTN69ouUeTSZJW33IsOhp4pB4Egn
1du28E055Beh7pndmVDCiGlDnPLUjRWjvsL3ntWrnjnJ6xwxdFPhIs5OfuIIDzJ/4eQzlrPlmGTZ
SQFgYXjJ1lANtt39yaE8I1YYBJ+My/bsYS5mO3N0cjZPJ5ezO+OmfIP5AhSLhkch24asvcxP/miY
bu55fXJN6wTEPTonL3XiRQOD09lirUv0wc7Jd51+82DPdmzmVNGX+mTRPrm1AzB4YN5OLm7MQji6
tQpzd5f3tkW65+z5Bss63iqWWz4bVjkdipM7XJuN4srJMx4wu7lizZ4+QBVh/vZ/2Tuz5caxbMl+
EcIwH6AfSYCDSErUPLzAFAoF5uFgBr6+FxiZVcroW9mWz7deysoyM0IUCQL7bHdf3g/jQ3DJmVMt
Wn2vl/C5lYEWXqWXTDqXBP5SHkTmU7eE1s1YOmzxlih7lmTaj/CSby/0bLpNltD7kGjIDhSyqAdx
ScWPS0B+ylSy8uQj2/IOIxLP8/SSp2e3R7a+Cgxy9kYlxZvZav27oyYhFcbwjPL1eMnnM92S1e8v
uX3lkuEXlzx//yvcry5Bfyrqyfwbl/x/dmEBRBcuQHVhBADycN4GiiLHveGUpL06nsn3ThvM9Q5q
GZgBbIbLFbrQBzAgZYwcC5QgCxc+gdklncLuVYuCV9y5FL+5pWaGJArJH25kmFvZsaEOldBGbNJz
LJqZkuIxecMIHlYYG/++sFDLUrgGI1MVrHV6O32XBGK3dudRe1Wpu2Q/VeAhu3QZDiIQ+N+k9TFM
lOgNror7Fbypwbd8aTYkROcSlctc+HshlMVi/avlcFB67SZ1k3qpqKnsV7pJUtsL6JsLN26Q0RAX
6EXmG1mAkVKNl8fdCJpm6+SVdSUt7M2XOsScNnJnXUiEBM+ohvj+92bEIohb4cMs1J/yWtCnHTeT
hS5yKUlMUj1mPW0Z+gc/hnBs27r871AvfYnzpITFuumDkU6nr62JblhCtpJtz4a0sXvmc4ZBpDQs
a+pLo0t7uA1AEZTGbC4R1NotufPknPb0xnqaI7tPPUZVGokTkZo/DCNV5JUthkZbBwa1SQejpKSY
W9tgbhp2IB8W8AkSyV9KF9t0sMQ+7RTuP/nQYZRLElo+qzg2HwsgGLRNlVwxNpuWv/YxgvG0eq9G
THO8Sbe5iyVVzHacSon3r/2Mil1przP+rgpBZeEMgBZlUPzV1+goiYKfhQLO7hDgRah8vaGiSJRS
kX414ASnrKw09H0t5nrTmhb9mmmOdj+pySanjef+t2JH0WBzm7Ns+FXu6FgWRZdG0C9AWGLC4DeK
kiaecdCST12O+bhmD2DfaGWpP0ijye/0S+VjUEX6lV6VMvtV+diY+iRXqpJpt196HzF/VxZ72sR6
NFVqvFbcZySluUaFWoocEJwzZ3h1uRyv26LlRwVODcJv6YYUlvNCP4WyHVrXfmmFqlxBj4w9c6id
uy89kYQ43ZBAswqXk79iuP1SGWm1Tlse8wHq6poYMqwb7uvOVd5N9PHUfLnpff93h2Rt1vKptKrk
rHHkxwo6tAPm65Iez2iyRk8vbfOHq2f5DSYE5ss+SqcbHNbNKU80leYgV0lum7jkQjFahahv6Rj5
C1uQdDH0EgWetaZ+NcbZPvFhRYeqHKk5X9LDxZIjtpZE8XwJF6e1VB5ms8EqIi/x4/oSRY4vseRW
7fq79BJWHi7BZRZ/hJhj0Zj3zSXa3C4p5+gSeK4u4edkyUH/d6T8D8EnJsC/GSnfm/fivf78f4dK
nT/3x1Bpu99oJeFubF2Yahfz358mJvJQaDYcpRDmWIt94bTZ36gfQiAi8WRAaqNC4F9DpfmNvdnC
neBPgX2zNeOfmJhYafw+VOqAM5lsdUorYL5fllxfllhx59hNNdPTaLXahxyU/EwvWH22tMCacdY3
JYdaJbRf7Sk2N1CAkmPlwL3Vw1L+VMKYdbLTE73x9FER51hp1cOcFM3GzE3npPShwfg0zAsFoou1
XW5G5HuQio8ii1okOoIzWgjYniNijECn1RZWgYKA1Saae+Oeinb2GnncP4aN0eOUoSnRTxQy49eT
0gebsEjbYDupvXKnmLSkEvDgueO1c+tep3VvUPoM/VddaZnLl7LoUNn5OptAAkbFdFclOf+HaW7x
iDjRWHY+yZTuiY5O02+phfw5Rjo/Q5TzNTGEZKPm9ki5mdJiwi0SmpUWqwik89wWLzbG921Oj9ta
GuM5iu3HjBcELSudkk0BNs0GQm8kcm1NpXVyNKn5Pepzs2mMoer3E1dPRAuy0iWvbcEzcqVWZeBy
9tfUEhq4W53sVNN3/CLZWW+K+cM0KNgzsoj1CLwAdx/3fVFeJU3aPMxh03yWTFo2OIY5tNcxFo+b
NNTxEyw0KfJAqW1/17BdF/wKadzc6WYrXtqhKu7tvDIfhtplHKjruuMYb2jNLsUlGj9yfzOClYWG
8ZzJ5nmka+KqKAbKK3OjgrFgJgJHpt1L+z0DkbYr2EPtEn1khnYcmBrwfab5LTKVdBeYNFgDzhFb
sMr1KRU9dvBRSsqnuW3+UKTrvGK7alZlPunHxGxnTzT9EePATHef0jFyGb2zMehXT1amrVv3VSba
2zzj/bATe/R7S+qbuTXVJ4Z4JHlXlc9JHBHmD0HbPQbhQBN5PplX7AD6tWrK+SGKJRw4QGkK2aWA
Rzoyq/DEPOTULyYKdL45kEea6DUbFrbFpWHS0kxJXLWKw2r2gaDB2gt2aqFdaS57D5rgxbYEr3k2
w9y+RRiuN0UWsSFh9FJ8EKJg88SQik2PK5dRdjz347AtkaL9EpgHAbqsTDaGIYKtOjfhvlXz5q5N
SpuIWT/yqQysc/l8NtqwKO+WLuU1ux3t+2iPRu8n05xC9qinW+xgMbypVItoa9CGrXTi4kjAo72r
ujLE8wt6b2kXtHHYaeGwmRt93tbF2PlR6KRiKYaeTinJE9T7ytrjAsEmMbV1uXUhxNOnQLO6IfV8
Q6qy29r4ulC+2s7X1Ky46ioMX66MjLMbUUacTBbRJYfu+M9oYgk5SJrsI2duPhrIaL7bG3zOXIlu
pz9BHYvXmtSpJnBcaWyGRu82qTnjUSGYQaFe6GXg0krDDJbwWrYxsunHGDbAYdWqPoWqseu7/H3K
RXOgDDW/z+xEfkdQyc41Y0VTi+q6SLg70kNByTQ3GLMf1+Be+O646NlMRh3Ldz9tWdBurFmhEHax
47Nqp/syvxtJeN6V+WjcA+qdDnHdmjc1yLumHzW6PmXPN4yog3XCogCQJu5x2XSOWhxCmkIDLxys
Jys3q+Osqco5chR5AMiaPVS66D5rqxe+gMX7HtPGtI+EcI4ODaanKswG7nem2IOPw40C5YvkaMHA
tdQbkzMgTssVFtrw1mm/hJ8o8ZdhTiBpYGZspGgcfAg7o7wzpINXr1zKqfPReWdeqddUGeZ+P8p1
MVmPSfzptCMllEM9PoU9buydXrG2IjISRhvXmukyLOPMOUqBx1Or5S6IcvsIs0fJ9jD3Wa91opiu
5djUuZdbKtnVEEpuDOPFABAIn2OxEQV43QA6Xmlgfr5POXMqBWhYbLigsXS3Af/cYxCyXqbMCt/C
dm4+R42i2C1kD3HScxfoWDcmJH6S4aFKHPMOQ0LAq8Lsyea+aNwtiwXiOAyFEMCyZG62szHLg5rY
0c+cCVOyMhHRNhujCJJQR0lkG6sw7Oe5cEAPz5vWUJ7G9iaSeqFs4yGfWfIpcfDZ4m67jTQLMEkU
2XdJnQcsPA0OwnMWtp8yRnjZAQiCUUzkkkISiu2dvdY4XbsvJrN/03jarTOa0s651ua7WQWLwVJk
PmDDvJk4yjRa/RilzplmjfPAOfxqiOptlNnXIvwZVuJl1vjNJg1f6iB77pgs4cP1oBJhdS254iD7
yjJJ+kihA1ZgV3lLZB34mZqG/RrDyvafT4f/GzzuOIYZyv5uOsx+vDdfZ8Nff+LPZaP5jYcS3YKQ
xxYr+jL8/TkXWt9cXceqjr3dxF6+oH3/FYbHcM5AiBq8+BuoA/oyF9LeBoxLOHghuITsfzQXOtbS
9fbXZSONaCb9RBbsWx39mX//dS4ccJGT9lC9LJU6lzbQH/Z6/doJZf6Ajgxu1eo/ZnC0GyWOax81
yvF02upuhcgjjE5hsGPz+INyen3fOabkhJpTwcx9xmNk2Lc5JfJRUw1+qdSOb8cli49s3EMPc9dq
WtUkAk2QiX3AogCTFNxIt13PeATNEVsWdFDtiqW5tVKibEaIcHYlysyWDo6fWRrzlDfmetsACl9j
8EbmU7jbCvFUjwQqY5ncDxnytmOG86tmD8ZqapxrzL8bIFcvqYJNGHloXNOL+zICA2IocV/tZjxG
RXDQyu5NZNopat3DJGgHtirMtmOyM7t2B9zyDv8Sw1MXrqMEMYnIcQtBMj/CIHzraPNRg/KpKLn3
KeQrB42zb6ZN9zBKOYyzcPJDnH3rMXG+Ty7bGHCueyQ434ycZ8Qz/BJQQsjDmPwfbr4mJFzEQlpU
CLp4WWS8kyfWSMUIXh/ZuVm27WasUFir+pZP6+w0xGQrWKR0KB/NvvgB8GxDfHLXVVbm2y32TjXS
T0hHFapqs3MHAskyGT6T1oFpk4U5Z2QO6ZSQUWPDtg6uUkimUytrwrv6vrCswavYEa6moCZZzeAI
QXWKzmGWPXFgf5JYB01XfddGMTGq4ciXw4xk7Jp+F1TOpir765G0Esjk4UVE9W0eWdbOEcUVYbfI
V9Lwh9a5midyFr3qEBxr1bkBforF1kzVnRjLG0Q9AJ4uq5tsLFdcsMYmtY0XEcIlsMz5PGYRFDC1
b3cCd+bW0p3shzZhRtaK4KEpRLlt6uEkBuMqEaLgGZxe10VxSK0xXvWj2m6HJalpD+ZOH4hn9gu8
Jak3DeifNfxm7RFl+6Uq2XeaQ+AQJ+Vkki7JT0rriy1ld+p7V0Szz9kLA1s6i1dRNcOhDHqFldY0
r2HnNt4UElbvGCSQ00mVcrApj1YfZHsaKYt136cv9qTluwIaG50docrV48DacmBXWXlhe4pw0nep
5SYt0XHv8Vht1k1pz09Vw3Q2qodkyt8G+mvaKDzGNV+xZHlIj3F9owbzeB0lxVtTmu88at5SEZJq
kDO5jaKBYTaJ26w1rl01fa4VhjOXpuKxDt+gBx/ZReP9E8pVMZOmzkuYqSGXSd66b3xrbwdTd1cx
IwRDgocZX13FWOIppabCJlrct46yVc2R7WsoMYQGk68tTlMpPss28VOTKwuWBkCZnNGqMHapQpIh
qVi9Yn1iMFGCn1JvvkdKcp06eJx6vuJ8wu1BLrEThGIe1E3+FnbDBzYyNMWi5KAbR81dpL0Gzkkv
Xju+e85jYheuV9bBOreiPUMyPIG59hVgYyKO7kBaMw31nuHSAw+g9Ew9EWfdwh+HZQMbHrA2qfM9
SmG+LgclWU/qCOvAeOwVdTsEUAu1hsSC2Gntd0UvT3oDPsL8MBoM40U2xSsH86M3I7NwjDD4brUF
p2Qtkuz4dPho6YI+kt2jVUJLQxBGFLJuh1jxFZsdIPe1nksu2lEmdVBLQjdWmLL9Gvh9LeWNjLfk
mxC+5DS1qJ32HlP40PXXgZach9zAY7kE/gKqfJE+X1VBWaxT69fBRNRaTNUxNxtk7+9GYu4t2WaM
zfKqiQfeEWfBEq5YyqML5YHc1Mmuw3rAKWj6GWVYSe22bLasyvya7T+7xnhjuWAV5nQrcE4ngWpf
9am+Y1EHA1eeBhyyKxAkrF7pO5uaYh0P8RZBy2nAKeDWrWxm/oClQQ9zccIOTSJ912REXaIZep+u
VsVZX2zUBs6CdC6w51C9ppWT4rFfoRaCjMUOOYiAoo3bU09poBmV7BbQc+upWXLbxhAc5wAfSWmW
KEmBF2jFfVriiunkYjz3VFlvJlX1kpkxMlOhCXRjuy2SaJMG07U6cyLp65+seqF25/NTqRFMmpoP
IwkTDw8yExud06tyRryJnTspSyIntabuSHedEaC3XURrDmCEa94lztBokR5Q74PJowzGs3wuQmKM
Ti29Xi/zta0IPmi0+IE53uQsZxnx7TR2z5NebbCHM1tPUnDXGqQXjoyKOLXmI8D3k8FmdzVietua
jTJwnWGhvbjG+4DVrDqAxQ37eQuvO/Lg3bPgrjjIwUdgJZNmm1LKF+nyzLZttdmkcfc2myWnAJUX
nUoTX0191Edj5+bYPtRc44GYngtb7/xUBA+ziO8Uw+LO0bAryfTsuXSiH67LClzUOG75uzbwwDLf
7JrvJDdXna4AFtYPFWAHdbE10Hu1Ctvuts67jTpbe9foWMGGW5It7VW23AepB3tCF6CnMIkVT1cD
SMQdq4ShH1nPTNl12cjZlxxF8UgPxJ2U6hkjpL5p64GG+9hO7g34FkSIEKoI+Gce2qey7WuCWooa
Y4a2rtV4OrpdBn04+9EWhrGR/YynPOF4brKA2owoPewYxqX4G4SNwM+TUv02NRMhqKo3cO1k7Rrj
x2vaMBGYdmETyFGIiGjw60ba+3Z6lu40usCuQK22QK/MesM5cNoDHD3jJM/WgyRC0hf2tpPLeaCy
kGNUlUdIXVXeNNb6vl2KQQ1CU8fJMNoVJ4K30OqNjV2UL5atUC7CnLdu1TpBLFGiCcvuQtSJ57dw
SHib83Aj9DL1OazuoE74TjhFqz7J/byJt0qiEweLr1LOJblt8MztjA8SLUiuY7ObHUEaEE7USneh
sMN872G5kuMXPGRWupASTihY7GYSdwV5iH0g5ueCGPB5bvtzFgK2IUzwyQafWi3p0jypF0/cMt4H
OwErkmDymrt8N7jGAzj5YgPYlMstjuMtfvTjNMXnxBUfCsr3Q97qs9fzVfP7OGFX2DBaGQnVCByQ
JemDnvOgpnr06KT+PFgso9ho0UK5BJm54Nohr77bo7nTbG4kIdYXBmAkFQChKFZKUviqWtzNxfwI
buPs9tF2GibPisJDHqaxT3njDwaJbifa4d6oGpWCTKPeopCcjXo8u+3Qwx+noFDtACYNXUQTgj1L
r8bvlkHS2pTx2G2Ao+9Il2OVY7HkK3rMQLKIgCTTbkkXcu0G7XNBflFW7jX4l4dkJvQ91/vMFA9D
AZa2YYS3mm6v1hYXKpcmtRQ27W2tfpcnbCKdoXTWaW81XmiVN7S6Y5d3xcYVza3DcpRqwFI/VZal
XLlj/gLAR7KY4blsU1lk18Mq63h3xtHNvSae3hZW/bGuQUuooUYLXjydERSPLG6jjaE4zlXQ6dEu
1ch6si6NV24WdF5qQFYQtXzRc/jfIo6dFQvq60KmO6PGOGebPF8D+hwDqLIUNLZbe+JxpzSvsZBH
FDioVtEz1wA2wDnXtqzVD/kU/GzV7LGMeDLVzJI9vIo+t6gR763PEF7Fqg21U8VTZI2pgvGiig6d
2ZQ3fMawnUY38MUULxCWcWeDRKEwYr6zAguL2Dz/HLS+IEjR+km2dGOULvwgvtiubv8gYL9lWflu
mdGwNAC4K2HBlKl7CnaE9oGvgKAZ31c6DfnMQI/7yIw+dQn3Jhi3gJhGHOZi25XKrosQRAVkpimZ
72olYdWtaNZaki4cIpe/uBPrZhlK6uqsRfFNp7YFN8rizXVGZ5VVJOziEPi/1pBoTMLQ9mxgJT5P
NcPDCA5mQ3Efs6m4s5p2gw5+FD3fyrw7IOyOnq1V3pC4V9LJ3jJk5UKr72EJnag+fqjY6K8IdqMh
QmLJpdN4dmjcFCMVd06C88zWx59V4xi+nANf1shgOKoPlsGCV9HZvWehtnYH471MKvb6Rngyrfhu
Iu5PoInCgHLR6ote1F40RALpfOTyLjl0aWxp9MzEEyqbhKEiZgtZOx+aCfSo0Fxwu3XHxS7aGigH
CB7UScptBde+otDjmozx/IwmLfj0yzMPvLu6+++O5H/GB7KkQFX62zXJ6T388Z59Fu9fNyX/+nN/
LkuMb5aNRiWwp5P1X5iCf+5KzG+Qo0yNCP6/GAH/ZmsYJhw//j2pf3Q2jPN/gACcbzQp4/TCL22i
56In/xMNTf/dl0WYxEKvo9bFwOWBJeivqxKZwyAiD5vSJwramy9kYF2JnjlImd41mrVmc+/ArKtU
49EIn5pio1NMrNQAlcPkkOMFavlSFtVtGNxiTNnbsUG87HpKcEBCJeskKOPRr4TYfNlHnX/tcv4a
HFl2OF93PJgGeIcWhCIMEg3P219fuBm2cKyo6cPBDS5rF2KgUlcCbeyt6BMg5HiNVBjdfL9ol5dO
pG9jxsBPodb2Gyt33YLFJzkbKBE8AFH3nIREYgb1FmMSMTe9NOocv6w5PKQAC8trTa/yiAIepM17
kQ0OXRVK2xNSCe3prqHX113JVCga48HYb/sG0tNpYLDvUdVHzjtdjybmDbYKJ56CFOXnNPXT7TJg
fZjkSW7UrK3pO01Fvm9iF79rFFnpxnBC7PCsw62Hyoqp5ZBFH837yUzkZxzJFM0+06xrJgOTXmfJ
R+1NFKDROly20SNvYNEv1UQcOXuRqNJHdFwYbXZdDmuyGeND3yiBwzOoTM7NqGgaon5WbpQ6NtFO
U4vAOGxjt1ibLXx8v9c0yPOQC3Awd5eCt+zS9cYxSffoP2ZN4KJWvdhRXT+1BRz2q0iL3dqrdDtj
vRBOtxPmC9WLh6g1VqT8uKPWMx1S5NuUlv16ruuM6jZtQxxg6o7u2sniYDg7dvxdySsMJl1QtLd6
ObgPc9vNb3RtmE95lVtEP6KKeHZS4PjDut+X51id5GuB0Qa2e+XIjxTMVQNAbLAcPCtDUONfbWOx
Gi1yfocxqoZ5zRcvE1iIiJdjfQaZtAWPGUQ7XeUW79vou+GmvwBihgssxr2AY9w2AnkvLlSZSKFt
b2VcaDPsQpOX4cKgKWalyqFjUKC7pjERe7bWLP9hkaGO+boO7Plgk8mVL+7iemdewQCviMUM3yy+
ePNikTcvdnkEU7VfjW1e4/zqB+e1upjrq8Vnb18c9xfzfRMNJr61X6Z8+hZ/SpQg1gwX2z4OkBD8
xeLm5zWpCI49x+JpcfvXF+O/XRQjRvVLIMBZsgFsARb4ZO10x/YSHrCXHIF7iRQkS7hgSRlACIxd
rDqF+zheYgglJxQ2M5d4gutUWKHwc6smSs4SYciNvtiZl2CDewk5lJfAg7iEHxguCUIYds5I514C
Ejqf+WtwiU0giAv2a0uYomYT80sK+Bj/T/hZ/k83mN951MuNEezRBd5KQu336BKiYp6G5pz60CyE
vqZVkQuFuWbcC+wzMCZWtv/397QlDPX1jvb7T/zNIqtDhiRlOqU++9EJ0CXolB9B/P+7cf6+G19+
iovr11n24nh/l1fxZTduaHgRCF6kvv5WTxtJCTXsTb4CwqsKP1lhvrv8Vv81cX8hcfFkVxEa+MD+
s6byFH9E7z/+Mir8+4/9MSvY4tsydRjUG9o6xbBfg6HQtgQqqbs8rNFPljnij2EBww1eGvPiq9E0
zVku1T+GBf2bgOvFNewISmKYF8Q/GRZ+CSdfL1HiiKaFKxzizDKAOL9NCxHswKLl/OctwS0vSRKq
RiipMm+mbKY7hIGGNSi4uKzS6f5wO7vdTFoBAXHU7L1tWeaNbDHlpH1krnvog56ia4zUUWetE6rT
vK6f4lMdtsU+LMxUwS6N3QIOSvmosbhZm332GFlOtYPYwUYcTF3AbSnIg5t51ryBS97wOysmHBMV
oXmGvJPQIs3bwwFswY7QgmBS96wNGp4bRVgv+tgg1kRE3Nbt1COlKFlgPlRAwzaBk4urmTTItqLP
2m841m9p5MpO7oSdwhOT4tCWqoanCZ3z3q0yQjdurj1XU/Sq0TKKygkFQOARfG44bu5l3EfFyg6V
6NMZEnVbxWkPdmDkHGmJKfAUJWxumjKe11OScQa2WtXmOO4GyMWdXe2MzOxOaqniKjWN1Le63kV+
jrTusQxFSIudWcwPSVCyyGTJBTfYvhEgCNG024TugMRpn5sWlwDLiHar5Ea5c5K+v2crNRok3wpK
2FxdIVDvIke5i21qFXZz8pIgXLx0XQYNkLOTQWyrHosr8MzZru0FAtBctYsrto9wcBL8MjkTcZya
mto9qbpUfX4WK1yynxryPEycFIrlUxNX0UmMeuyiF5TdCZ8GoV96FB6MDH6sVKfMxIAUqZ9WXt4E
SogDIdAUyyd6AhGC5cFVQKwVlEhmbWJHSe/iKD+Rmxb1igU8KIhZVPUHzNoewK9dHhH25istiViT
zqUMX4aqdHdtHGXbWq/eymDEG6QM8oh+NKtrbFbBcUAD2IRqwdTnpGOwafWEkzyXKRSTsrP3pNAa
lvqRJsGTxpV2tIOcsQWXfsGjsJ3wnONvOVR2Ej0iPfWIY+wr2Hlly4K560aWYXBTV509ZptWHbtj
ps3aDjNYcctSet4YcI3pSQOFsxFJzTgdKpIrIzDhL+tDUcMEbtrYG6aat43Km0c5DPXOCniQbztl
UreK2/UcZCdcDVDt6QkyDDYKSTomhA+caWvC53VgkjgZBWdDA0fD6OBvm+Bv9DyB5FGTcyLrGKc4
h0eWI3c5M9gNSxFUM3fWtXd1sTkTxCwC1E6n2GIoCK4tPcVXU/Zh+ObGobxWyNQdMqsv+WdRmWD9
XvQ2WYz5ir9eu8XZNPskNMYTKF6rWcfIx3QW2IWPPBI99jXbikDJo45lYoftXujM7VTHpp/MSPmJ
JX5Ij4Lo1aOeYjKGr9c5ntXNA8WdXfasTsPwMy5Z7K5agXFF9iBIajccFh2Nn1SC5RopWgSPvDZG
OA2rsKF1knRk/RDWub4OTEfeD30xMsWzQz82RkrGOCgD7VBgXrrprbn+bplj92RXnRrRQKPlHl/n
yPInXsw50K1yk3Vjja2igsWMleYNd3a+t2Lc3csCM4s95vD8IywRD9lXwuFaK0mClmrUiG3HCiz7
fGXWBUcxMwvFk6HyxqR2j++coALUn5Se5qdhFPY+kEl55UKs6leo1s6qVewRjWmY8ZFZ/HLx0DVk
V4L4leuQGAq5WHsnSNN8z/rGQAQo2ZS1lhVeG25okM5Ngln3pipODnoFROamUS53MiUj6NEoZEDc
2D2khPa2RDFAzs9DfaWwtSv8qaM5yZuF3lFak5kbaxiVxynhLGZEbvzWN/SAZ3mlbfi9p0dddsN8
F00ZAFdov/uURr10pQOFwkZlatVt2XXJOelRhVk0G+C7tZG2hB4E1JqkgLtteftX4HDqR2LvwZOZ
1223sTsF/HiAUQVCb5Z9dwY8zoeC1AtB2ziw7suKIPTaQT/seKJJO0GSZm2ytgxU7Q383vnZbSoS
EnWW2K9z4qAssIt2AhSjYnpH6QywILmTvdQcAW32CJYa102iRs6+w0QIbIcIqNw77gxqKQhu3KWJ
EEOTEa9sUSv7sVbLQ1h0QNCTKRJIY0Q6BA874v+jSu0VpX/KvJNa5FS3DZWDLxrW9CunVbnWLNOp
+lWeTW6MPXM0znUD5QkIv37I+4CFbtURkQaYH8V3XTOCfEllOJTIgPVc+k5P/HdVTaln9LrWEY3S
lhWADtR+xaNlDRBWe+j0S0tV0NQv0qnizCucsejWOl/LldJkBoqdBu+PJWbI2dLsavIaDXLCiUaX
9l5VquZQDqrxXZ/LQjvMBfdKLxmEMm4Dq5zSLS4l+5nzQtTC9NLCqzGontuuqp6HqdEDygrqOn7U
FycnJ4ZWrjiZY/Cc2Kk8RJ2b3+vg517yIAqbu6oy2wIMQG1/h2/AL0FmBxkgWTyk+sVOOqQV9jij
depPwzXqB2kFWXkV1a6zn3MKOr2wN7o3vTSnjwg4+XlilQyTZq5Ok5FgZ50v1taxKVguj93QJK+S
Dy7ycaKW/T6REkOj0HDIZn1gniqyuHJNgyyyEI2vYJzkBGsBp3EdVVeWVZRWc5NkFI+6mBwcnVBV
juLS9Zm1Q29Gbam0biSaoukPi4B2Ct15kU4asRsEtHaGyOLgary6RrXjbYL68RpmVnNM3KyheqBB
BZ14KF8pdmodq75V1xZvvVfUbQpOtOjew7FRV67onEed0aOqemWnJC7ulrwrDlMasYlmfFk7LfuU
9STLErtJlJTrXK/nzypFefvnx4X/DRYsHfQnK6v/fF6gPfi9fseH9XW5+Mef+nO1aH3D9U5qbsnd
f9kr2t8IKVpL1bSu/V5IYtlLiZXj4r1mhDd4CX8cFfB0LfXpLv5KPFrwWP7JSYH+698Os45qYeei
yp3XZwrVJFXw9ZjpVqZrC3qzvUTk57lCDUYbsq/AhZ86SrR8Bpof5cTNZHLtaBP2+A9ik2d7ZgbP
Sc3WP9WC7zWBfs+SiDZWnOMVtextHJUuLdT9oxrKXWUXlc++hslz1MZVbKHOtQX9IJmF8zD0EwdD
MjE0lpQs7Q1diBWb/fkZfRytGevoyloW6MOySlfziaX6sl4vl0U7lC+wfezeca12frGs45nA6eNg
Q9/BMFkHy9KeNRZozEqvPVPDMWNTabyalzW/xb6fmoSTSe4V+rDxDnMC0q+R/HSxZNGkURzkAIqr
Rj+AvmL4AkXBXaQFBBFlJVAb8jFqsd8gQOgoEXKRJCq0iQGNQlgtNPvFVpO8jWgYrO+8dhE15gmr
MCoHasjRRvWw+uxu1sVjaLDkKxdhZEJ+9tNFLOF8AggyJ/DdlvY2iXmY5IumEizqCtVxb4GJa0FH
eAEucKYp0FcqZz0uykwsZkLfmb6yGvWuaRIUpfRuRsVROoT8RdbRtXCfLEKPXtnbQSk8BQWIrJ+v
owjNizSkGw0iEQ3YYDrmjzqRndcr4me8SEpuFfBMQ2WyRbXlIvvRNbPkbYw2Ei0qXkQpxW2YpxmW
Mmv4SbLRIHg2gxxze58hHFELdSsrDeT9wbEpLovLG41yx3IRw+Qii1EJcIoWoazT9c9hkc7Iy23i
RUyrUNUa1DW94YL8v+ydWXLkxpqlVwQZ4JjN2voh5mAwyOA8vMDIZCbm2R0OYDe9hl5Cbaw/pK50
S1lW10z12FV6k8QpmREO//9zznfM0jwZi+6WLQocC6+XtkfFRZrDwP7mI9WBtcDLi3bn1YT5OB3X
zqLr1Qh8HkIfQEoWrEn8ofHo04EJbC9adEFWuFiEFq3QWFTDmVT/Fbz7ZIcxH1TIdOlbp4OblwOy
t0xJz8j0Hs6IGfmiSYpFncTlg/PFOaRm324So36tFyWTVK84+4u66QaKxby/qztchNpqb4tFCTVb
ytvV3IwMws69WvRSJraRZ2WAxRcxNUo6rnHIq6MR8tjpjgSd93gEHtPCuKmRY1HNX3CSY93quke9
KLYzlZQ4V1Bx4fOwtgyGQ7MovOWi9faIvqbh8NJYdOAgQBt2EaK33GkXH9B8iZCNAZZ1vFpQknM/
33ple3C6UGHDnL+KRXHmcDiNSNABUjRfGZTr/JTbzSIcLhdNek1pXsFzMM56w/qE5VlhH5rGaj45
KKm2MWFsZHmwsv2gZ6xu821Ch8BmRChfzD7gE9DOxaKi60VPB4lH+8iiscc9anuO7D4jv5Oru7YW
PZ5LMGXoi0YPlvjRzgrGadT7ujCwWI3zB1UVz2ScyWguWj+d79+bIuTioeRlnmd9AbT60lFOc5RY
BZyimMlh4x5AFqewaqDwarEW2IvJQEWYFbkdjVuNA6EYsVl4eBJKm2BSE43nOBePYs72GgcDwA4k
RjwNCea6YDE51CzPk8X2AN71vVmMEMZPTwSmxsh1zzLB22JT5i7qydrmwmdKDSPoihtgfngGqCAp
kVa4wtaHOSJGPdTnglIXtxcY6fpnvt928QX1Qmwtbi37sSdFQ7SP1hRWRPeONteDZuiPaWuz7TXk
VaLFNDU5GhNSPRXXghl37SUVdlIzcClRcva20PQbvkjgs9uYg2c/Vpr+XVSbTdlHp57i3GsVUvRE
EDIekX0yPzkX84zfY64ucuhchlWnunOn/Mm0O6i4CcUvhEKtC6AMBNJOA3G3LPFeVKYJGJgcfhG8
lkzsveWojZ1h958wDtCAgZGm9Z/8dviB74aJnjqtuB8e+aV/5qA95tH+DEu8IrFpfXpO8ZF4at+0
CX0eWIzK6FuL1Qg+/RZBCECRcZ+PLs+gLwn7cwqM23z8Qeh/1VRszz18gRqlOkF8T8bypwdA7eUA
G3o26+q6kQoQbNs4163j7HEP44Ll+yC9X+VjMd2kbawuuTvETJ0VToLIZwWnw3DX8Hzbxiw/1rY5
qU3rVC+tbT4hsl83I0m0QYLPtM2GeqQ8jTcNYgg2AL+mIgqOtbaoujTWqr4dRccZDhdaRkN/Etqa
2HtoY02UJd9mNThd3mnnLPnSYbWbEprtDOabtW62hdOvOS5CGagtezYsOYEErmhsInM4Wn1yp8Ep
NFcyI5jAgZhbN7o8K7XtjPTKmdxjpt5HfzvVGAiDdVLCV0lxX26imVck1elvGrMNpp6Aztbg+2z0
ct02Wct88SObHjXR5BIggNHd12XBHqk6Sn8/zBc3x3K0nwCtchOoU+c8++5T4bFVcuhb5p5E540z
3Idjb+2cNjzZ5Ru7xJfZqKg5I66Tpy8J75uVXzK0wTk4Jhic6l6TygmOwhpfK99yV0HBwda43Wmp
dOYP7t9rsHeoXjXEKadKl25lHm4B28EGh9QmFfAdiPcerCg6CreH4TLdDy4PKpfiFOAJFFbTuCHT
i1bx2TOz14RMI5n9V8sFsdrw1muy/hXlclcp867Ebswbl3Wr3DQFQkxO1dp0R6piNac3qNBv7PZu
DGgAtlNjn4nUa6bb4xgn32VbX2RXXEjw7WdrnrZysnxQRtaFhQb9P0MkDsrs3sHxvZWm+Z6l4pMB
+jp3iW4lZd1SgmY/2H0Cm7YaTzM0Vlg+PARdkiarvOHOl9vtQYhU8fQSr4CPnt2G4EqcYAv1fkha
z8ibzdGXOV5k2ECFwnCIcttTamRUQMPZFV9Ylq7x9aRriDt4cmtC6+MT29F16xXojjBzAJ9zneiu
5uZGU8pNTp2dRHaVcD/z8nDDOoksT3xB88zAJ3VbfPjwP41LFO6rhiODTeTY3uY6u21YOfLm5rE9
7LM22/S9gMBK1Q5CbBdYq9n74lw+hNW4n1ODNYa4DYxyB91nJYS9R3WhXHqlHNTdLGNPtDDhbwGL
lysH2TPswfFPNogwOV3VPupMUh0xkG/wjV95dsZ2bd6DPF4jjD7YLthUtmLkEm94nV1bXnHFtDCs
4WM8ZLNzNRTBrezBj4xJdqlq6eOdLPKV58aaN1gPyp4FReXGX4VgkJ8yuR7lCACl5TJbGWcyhtlG
2CzNqy74ipMh2Q1OBHjA8TeDztyVM5dngdF0q2bny4ic99Rx2QLOuXFxitpf416ZX4Y2CbcafsHv
MtbfUpX+O4yJv0tEFKj8i0lx/cHtQf7b//n3g+I/P++PWdH6TaD+k9mxWYL/FRCEgGRioiBH8/v/
Yyj8h7QkMJtYfBaWk0U8wlr257xomL8x9QG6DrG3+JTG8VF/Z2T07P+Q5rYDVywqFtRLptfwF/2z
FIgAVm0CWSZ8pl5yNU1w1/NQLGSJ/LXOtbGHS9dc/Gbqx52ytVcc3Sy2d92Qf6ZwhOZjw1MH/0Bd
mfOuGDyuDWMa2nIz5f58o4uQYM9s2tL69L0+bnajzqmMS2U3n0MAd3zFZczMZPujtuLhLouN4glw
tQFBq01djNJ1vfNHydUP5FtIextFWlw2VJzUm6F2JOujKKE0kFEB5EU8VTQp6Mg6jkaaXMkRI79H
idq9W6EAsTvLnIeFkPDgi2bA4BqxRqrj8ktjUecgt5OvKXbUnTUGDo/hDgSIhRb+5o6yPnQ5gYCR
nNclHr2YMaWxgr3M82wNUcRak0NtNyadcS9uOhZXVDzx2KZGrvkwiKeOK8fBjr7q+ClfapAb9xX9
D2dnUM513+f1S5hp8VB5zbg1ahVuusBOL64k1b7ps8y1webHAVHhPNyWVdIdghojEFHd6kivRncw
ZQbubXIrcfI6S31qrayDF5C+oaDUv4yZ6m4HUEy4jHKju8pCGnRyIORcHEMRf/aFl9xPvvLuRML2
FJqGWKMKGW9jlfZHcjrWRRdlivoR9M7Whx7JUrGenilLi57CvKx2cRr020ZG3pH6wuLd9Vgrbkub
qnQxlgxY8NiuXUFp5hSr4XNEdjqRmbafVNU3j3PQVQ+zsOutNjzjrEfZHKfGKe8l0+h9NwpzLzO3
RmBwuA64MxUSyjmhJIVfi9m7HGBMqylv97KP5uewCO2NMUbl1uin4DtrSvspwxC2moamOcyi0Ruv
1PIDNoe8J7Pu4bvt1CVtnPwD6BzLjtoQ4cVngf+NR8gtEKhHJ7PVru8dfXTHwKYy0MMcH7XyoVaW
963Tfvvkzjp6yXWTfo5CJ486MpNdhhe2XBV0X++VnQ4xXlPbvx9YQRytlPwPQ5ldHqWgGmTFUV48
CD9KLspRhMWjmKrX0MR0krHS6LdJwUOTVhQs+Kx0ynOXQ21cORbFhaswsyjsS0f0xE2WJPplkHa8
dyZh39vYrK/8pHAfCUi394ngIqZb7W5r4N2gD1z6Gy2zPdXSmvZUK0UX22znrzyM3fsO3WLj9Y1/
ips420qqG26E9ucPq5554anSOMBFHM5WZTSPfuKwL6lM176Px7LZguEsLvaUcIGOI5oKAVud5lHT
bQZAYV35zsxFu/KSde525k3FhodmDDndjwO9KA0OvdvBm6az0sl8GFJrvA1Tc1w3Vmlg76S/BB5k
djbHuTsbvqaTpE2mXWbbLIyjwhzWRim8dtWX2tihczMZCGW/ZQ2XYEoCW1xFg0pXLiBNNtO+uPVq
dsmB5z7lsLsvY2rcYCe7yk3rKWVvtvQ4huHad4PqVosku48TxVGWR7ohTOOZb2Zpd1AvO2PaFa3t
3HjEr+hl9Pzn0ku/TVY8Pnr8/HeVsuZPeoCSdzk7iCwtGTE2PI431Dt7Gl5yI3uRjgWSjVie+ZQ7
w8APgWnuRZZ+fShsS15beqKmhuXXD8xV3JebUDdHIw1aRBPEN4SHnwSCAPT4qot8my8gHL0WUtLC
NeZ2sPc8Tz5GzWSMXJcCP15JcJL3oHI4UnkbUO3oV/G+MTr6g1AbNcWLznTLHpxLlDWHr6Lv6fdx
LeY1SgHYONZ5P9mb0dPDoZz8nlBUTv+K7Eq/2qmGKr5V0lgs4bBfoM1TjkmNZ2L43M270MZF5+RM
MoUTWOXaSnmerrrSzp54kQW7LC2Sxc1OPbCKcQojeqKzrnqlukM/J9OZsIx6mlpneC1z37kq+aVY
W4ozyT8NQ/dtmA2Xm5PscdGZZE4AZJXhwr+vHHcpRbSDRdrq9YuHlQDpXNgamEiayK0cq4Eal6LH
iYjB93rKSziYRKFyciDDZBMgSlN1501BSiVBFps/NGcQWk7dVXs5h3SnVj/jI1mMYvZgm8bsYpCe
3Ajn5zR3m7FX47mb7PnGKBYaU9Xr4Rmocv9hIpjgkjQ1G4AW0/7c9bsmFmwP8yozAP4DUlleeJG7
CUqBNaJwiXwY5Movgow326BeZguPpcvoLMi1PRHUqdNba1nl2jXX57qYm5hTkifoPtPzLHeBGlro
WAq+GWkd9xNsiM5PIJEUO6WCKBlW8ia+6aHP2NuhslJvNTotebPWGuVnS5sOS4WKGC3DUu+W29El
0pZRSwAjo0+9a27QvL7ow6OMwMg7qG1CdRR6FM6UPhGZYNub0we6inhJLjl62G5+RD9HRtZLNLnz
gN2mfsiKxLl2PC4qjK1N89QlJfQnd5gQBK3afm0M6t3KwCcwBtl878O9WpseVvQV1AWzWvN+Kw7O
mLxYeSGosKJJIS3YUHQTwffZ1SEBhym9BkI3bIaWjUKv2MIp6dFMoVomaA2zeTlhGpJ4U3tsUs+5
QU1LPspafQ/tKHzRmq5t9jHjmvhUyKGaFs7B9NNhG0mWdzGQm2tQIscm+7IL3z+U5JQekOLmY835
zelO0vVU9IPxqkFVHcvCYFee8hQETYZc1q6wDYTtavrpyW9n5dCtxz6Z1VRfWc9G7ulozfXRfCWj
WV+hSdS0PvGOfmYXaL8R2DAiFlCyfnG6obxt7TpH+6N2TDe2eluYH/u0MPXOMV392eR+T0Vs6FK+
WabFJXMSD9Lv5AHeSShAPlvKcu5nI+sJSFnJcBoohNlRV8SCRJsGAbbGaNdG3Pa8fNLUveI9blz3
yVwcIPnSNaZG88WcHfqwiiLr46spmzTTZqyxPyRSB9+yHHCwyN2pIQBkt+cQ2NVzXyPb4gbulFj3
mYSTEvitERDILUVD0C5uWSbwrlZr1XfTfVwXsLwSl2aSWJo3wKPlD1Y7Pf1VLs1UvHyufVKl2Fh8
HnhJPqdXY1tnD1bvtt8oao7o/RDoDDYslR+jkO0pVn57HvqSWJqfLm3gnrstuIewkrTL3RgMADf6
H6Oy3LfS4HkggXXeNFHhn0sO1H3qquy177V1NHoj/MiyytvRASVZmlKeu55rELdrsNqTu66FAD1D
v9rwjnOyvWMzYrzmvizuWoe/ldTuDHNXmHH25Vc1lbhj691Udll8YbX0LnXTsMx2gTB+tIYRXNHn
rveOzVYJdJ97aJOOfSm6j/zGo3H0V43f2SyohwWJYk30DK/ARZLwDLHZkniC+H9Lpy0Pzcqbq8dM
ODw2etu5xfoR8yQF6Gmt09iz7xIdpP2WNu7gwYnd4q6fMrqTHUItT9WIE4+wJtfNTWBP8m0qYyjI
naX1ieLGytjp2JN3oFtoeAkMj9CgjFreAzQg+2DFW2cW5ITz5LacMGvvsnro7/jBs7uFZNaR03SY
Fsh1UtPlTT2rVB+HEYknQ6sz7+HxI6SXfK9Tv+vgXWj1rozQm1amEh0bmqQtrmJ2AzQGaW5m/wVv
5n+fKXoJUfzneuvDRyU/qq/v3X8co5dP/GOMFr+RyGDcBW9m+g4mo38f53CF51kWbsyfcuw/Zujg
NwsUhTD5WD5+4WX8OUO7ywgNKo252ufh7lt/q7eDrPkvoqtPWATLMjIukmDgeb+IriozbPg2JcTo
oW9YnHYWaza39q+w8PDvmfJXNollZ49TjYq21hgd4BLoGiQkVPmYDk3NzrYo6wUmhnApddP2a2Xa
ut8VAr+k0QnvOsl4wQ6WOTzkpuPREJlW1qWXQUFHVetYaxuP1rdQ1jg7OrwUzuDH14LAIBwop+qP
QHhhC6CeUtGKFwhghiqLRYaiscwey+xbOjAqrhJm6GfXzapv3qRTGhcckZ2m2ohPQY/fgsMCoWEq
hX1OXTGd09QzLyp5iQDvhmzV2uLVaUmW24klD1UyQT0qwhRafkyW0ScfPHjWijol6/voqLJZVxDm
QK87djRTZOYaW8DXdCh2vn6Eu3nnl12xds05nldWSxa4K8rptvVaSi2i8CHyonRr6i6nQIlaWg5u
9KfSGUno10YxkNg2vAsahL1xi3i+NXMQu6zfQmOTBrP8VnV1Sri8i+HL+b2eH/JMydXk+clNKuuJ
y1o5HByWuhsSnemb5ogiveH4d3Y1mDsvyh+5pUhuIwwqS0kAptfAaVuQRTNkCe5huHA9t7m2s1Hy
O2uc4KpPmWsY5XC/Sj83b+skGB58vu3ONE2OKuih9huT00RyouC/TgVohRXp7vZKDmb9pMUMRx3C
/W05Z8jl9tQeQlU1+TZIpuk4N/nBNFjfkCg5h17PEdiODvepKfVYEnKseyfSIt5D6enivmCJDKFl
JIBv2Oi6RJSfJrYP9FpTGrMKzVBhCvR67zvXbXrEZQ6UNKV4/QbykP+hTGeQa8hm5WUKZw7vthiK
t9GLqoRY3DgdqlQSQrfEmN9yYXbo5A6pNEuS+GClSXwOKay8wMVHxvSsyv+qC76cB8HsoiCcA79K
7oiO/6CJKz3FtYX03fXB9zhN8lPiDMZ+FnHwlBuq3Im8IZ3gtkT/6ejcNzqPbslSx0e/TrKcZs7G
4DldlHctRZ3bcnEnz8p6Da3+Ksw7bD7cN3ADSxcIdp0PzmayYwpVKT3o2emnEknUNjZVHwB1g7by
3TGB1q563yK4Xtj4BngYVvmmpd/Lpcczw2yYuNm9bTf1Na8fRRtgVcl7K7KrYlWW9Aovz+F3I+TZ
uhYOZ0YXsbWhPmXwXunUIies06LFlliZ4E5jEu7BpMDY1NSncy924wbuXyT4ssSzCYDOBYXy1G4Y
u6HzjNcgcR0ctXQ4wi8MvfeWgxBahvpZUDXSVcW0nV8j4QW33tJkZS6dVmKqh9c88/pdPTbQGLms
EGg02EKvCHy5m0Shk5ZLT9awNGbVeT0+wvVCG3D2lDlwUV+qtQhk4XrDzImREr7hMf3ZxFXZ0xU1
BBBNouRDGcEND1XvNMiO/lQVcZMi4vo8NlZCQd9QPHB02Se0Nxd3aB8Rf+/NW9032c7XrQedmyab
Eu3sWLI930g5zW/5nKGWUVwEfMJk2z4RYdkoGcRnVYbdOnM7XgCk7aogt7j5m/4jvbUmPyjd9qs2
IfFT13AuLCAh1BSEHzO29I2biXbdRRzWHb/RB2Fmp6EOWcXApl3biWCmmYuTWVh0IdIjl8AuNmVn
nSvf208xoH/TY3EUtVR35smn2fT+ehpmh2qKGA/klNMP73gI3SXlAgro9LqpbZdwe4xVoqAGIsd4
s248/Z4FGUH6QJVnxpf+RIlBuuIgXexgNsgS5H95UOwBv3Kj0rzsNICGwAKc1PiQMcYZea9zWqQZ
QQfaBxEbl3pHz2V8snElgw8gQYk8DBqCIa3Z+kGEUcPx0mxb2OkpmMLsbpwdS+4ixmYLjrDdv7aT
5siwo0nBhYEog+n9qma5FO3mqiQOxlFUH/u2MDY84gQ/aeCbr2Pq9h9B79fXTc2IEDDuQEzb9YA7
jlqW1YlKhQA/Tzpc2rArboq4l9emb1QHhrd3WcKPMyL7Q7f0qeHYo1SxjHGFkmuAHcFM0sdms8t4
5eBJCsjysBaT+8D3zZ092teOGCgJ4cXu7lgi8tcvDeTvfqjCT/ay9r6Yg/zJokOYkJontyaYyH0M
NgmoAcE4b+U32NDLlLO5wbgBJCgKWUXg+9XTusRNXK/pyyiehiLqH9PAZJgXYCF4tjAqveIOHtqV
zcwOIENXxVqGCU5UOfbjg4pVfKkR28ctiXzTW2lGKeDbfWZc+XWkb9w6EAfXKlw4BaUCHRWWUf3g
mGom+DEP07UMGA5WeQ7+kbpc7KAs+6xtl+CmoFplND6TtEzzDf0wHe77KX0VKvRXP+9t/6MN/dJG
Z9uLS+9fXGkf6yIt/+If/Men/HGZdbjM4s/zfr98/myG+CObTA+duQSG2JD6lon+86cmhOmQmyy6
j+Vav992/7zPUnqO1Q+nPHjf5WP+VjSZQe+X62zAJda3+FOSODJdrsh/9RAWk0rClolzU+iUll6q
Bs42gY/9wIOVdxaI9SN1BsatP+M528Afg3MjTIkaEnRdeBr6cdhhZrWPycxljzK7JFg19jBtjcKc
T4ORFXsJ7BrhdSibm8yQxW3XFiaGLqtZi4nYJlawj2qu1bOocUxc1WkQXgn0VDa0xDdUoqajboXx
LXZ9dIQBskiEw8JdWTxq4f9uMjdS37ouV7eMdoRCnkzffxzaXD9iPX9sBWZaM6V1IQVP0u8iL78j
Ss5yPK/Fkz0aN4YvELXNKr41CoH+WsRfY5fo57j323cXu/6K7EsDOE45F6FjnvJlf8PNxdhWjRdu
eIqGN0avOkz6AaN0bBNj4VR6iWscCCQOuKaGY0W0J4sr755HYLeZCusgi25UCPStcxira4Pijk2Z
+sMxLbnQ9NEArKJSUTqsdR/0lAU5nSO2vVvl+S4LjXKPIVLB1QLD9qAa03schUMTOQ4rEpTCHR+N
JFToSY9BL8czbdbt1mmT+JX7dDzhoqumcePpYAhP42igjRtZOtzEfjg8mF5QPaIIyJ49oaEf4D8Y
9yxPrsjc3gxz1p5aeukPqTh4DluStZ36/OHKNiMqNhbDeCHLWy7eOW8zlq2Cn8U1lhTtG1XFyYNU
ldiOURJxfSAbN27CnlgCMwJQy2ryn0Mx3nPB4oLK8fnZJq54ZkGFibQKkocaUzopaXu8w4pNEMaJ
AU0nZXdSlDLvFJnyDeD+7KiSpnv3G5gxnQnGK6rSiXklDosnVrrFt3LE1GT3Efg7QYHDQ+I73kXM
WBcF0TVK52UyHJGEZnynfczOAMhUuCVBIw9m2kabxmuyGz+LUvrqfXQa1z7HsnE2fd2wsYPniRXT
1tNHD1r7K4my4kx7eXvMehfyHou3Ck89DaisIsyMKQnCj5zI9ZCPh3pid6TKgcXY8kgpl3nkLYs4
GAq1An1j/WhHDKordK3py6kkP1Cz8Ibg9QFdy3myT27zw9OT6e1D1TXfC54VT/GUTuUqzQf3PGKH
8NwCy2bX4tiLRt1yo1X4fIiNCAq8kvIrVVqxcwxBedPUjo4RE+ePrKK+bxZOH+H64Da0cXWs49z2
WRglRbdjPW6dndTJryUiiaChpSS+3xaiJzE2hV/SGnJrRbmLSc1zNzQn7HrltB76PE6PPlB8qpLb
CNud4VmfCc+yRz9I3bs8nYYH8G8Nzs8FGxmpZL5TeDnpoYwyg9ddVcNprJ2quNVZwaZRQQFeEEbZ
tlVG++AR4sZk4lpHW1vho9d4xojsU9Df7ei0mneNDkj/ex3/bJFLvS22sZqSLaSfTdlKna07JzOf
hGFGL9Wsqis9X1pXJd3Gm0hmx1OePnPvjA/I2tFmES+2YezEJ5P6kiP8gbvZpE8hz0KYa3wLqGbv
bTQCiQs1YYC5jV/sGAgh22DQJI75mpjGDcUfK066bmvTWxvnBzGUF7oazpNLJiEf9n3NYMiVCbDm
AXFkk5p0BszL+pvN8xmAY3uabEkIvYNJZCfTvAVsYonFFFOvp264n5PYOAEiIw4yy8Z8zM2l3rPg
Tm8GRbKm6KvZWOWQ/1DtHXcZfOOB5E/Yl/JgFO3jlGeXgckPfO4+gwe+1oQYexkFu8TM5Vpa3jOF
wBviP7DpImyt/a7Npnc9U1Wezj5MOOOLx+qwt2L1zU2lt6pst9nzgNqOE93OQfsQWoHeJH4NeilD
CQKDhGtStzN/UxVikEMSckbpxIjZ2Qej9W9c3F+yb9vdPLZ6Azn34BhVs3ajkZuvtDTnPIiCcPSZ
zt04xcHc6E8RxpRkiMI/LJxOp+6w+/KbaQR3LQghBYdbtKlQzWITRHLUc8T1Szwj4pg4Zo571k6+
qYn1HWsn5kXj4ixNvM82qnZhwl9HOJL1EGUdbqOYmBg7GKfBzIYt+diGrCWF3uWGuIxJscP4t0uC
bCORmYyhtTFV2NVKV0B8KoH5sTVi6w0N01+bTZtAaXrvNKuIjHSZzLH3JzxeR1dFV7CJ/VPS+M62
yPPmDrJVti8bP4VHxcNhR+INnF6VzW8BOIiDImH5lnkpMChO08dwnJ5r6O9smGp+cR2e9q+fbPeV
KPr4xSfeEm9a06JkmiDaek4jWmHkMF3RDOJez/ks98tourZtoMn/hTvn/+9VZWRGAm8pV/3Pl6jr
f/u/xDY+/3Ln/PPT/nnr9MG1cNOxiIZgSfvnBtX7zUWRCfEhWfCBWaP+eekMf3Mcij9NCsQs9q/g
C/68dPq/sQRiueqFdAFS/spK9n//r79wHvpf/v0vYBkXDPFfMAy+B26HE5QfAS4PX/Gvt04z8IUM
qibacHD2974OVbZ3YYQ2JFEmcUrcmWVSW9nYzks6wvttywDLKo7KsbVkSLdWOKZcnlxsFZ76gO3P
NE7aWVtq4bckVud/G7F3vqaS+84K8kTbrdNmSH4AwcCEMWM3woaQRdLZZzHtYxu48+11alp63mJg
MF+6VOFAzYUyf9DWPmEuhbOLHoQbcDpi9WfgTztRp8cwpiN57Q8x34d6ZXlfNiKpNh6PGQrtsVec
TYhnI1GIvFPbHvn/LQiVeSX8Jg3Zo8xxdqxFDSI2VCnnWVyAM4J7rCRvIipqV2UgsozZt+ZU05aM
BIoPb0q/FcO0auKyWeh4wrH2qnRB3ntWHEfrvApKzvIymCpGQuJ2q7o3LLrKcwKzmEwauWiDAw8u
q822nWY3stKdD6R1GmUA21x0Nk0PHVw5rzcMe+PXvnyjwdEbUYbkSKejPyT3yki4xnj24sGHh2iz
QekDeRbWUjFn1lmJ73XZCvNUIq/DJ6cJH9cpnweirAhYIG/e+Ubglms9td6zrBv9bleaLAMEF/RU
Viz4OPHBRGdvzOVX5zY4NicLKnxnySTbTu1sc3VxR+TRvAiv88mlosEkI5puVC5gzYC6dZp1iN3r
O/TPTO0r7sLWVUWFZ3GVEQZP2amZSUzqaUwibB/KLJCKRG5dOeacLdGZULlbvxqKede2FXYGpp9i
w/24GLe1SPMjzZ503Fsgdvn8vEmxXuT2uit7VkpzFIZySwlpQLlpGZM1SKPY1lfj1PbPTVy1CTeQ
pUxDURvqImlrkkQmGN8tDRdNu00nz8HKje4W0TRRmTtEO/zeg5GatCf1RH5WBnFJnnHsEyFBz1m6
i+Ea6j0LWtgvDG+gCjb/M/0T5JK/tvxwrDJnc3j+i9P4Q3379Sj+/XP+OIoRoNgAMFsvXPbfD9w/
FgA+IHdWq7hvBEk+uiH/PIvthTfCCQ6rlTZHJB5OyH+ECM3fQqZ1H43Ads3QFZzwf+cw5pN/OYxR
s0CTWa7woZOFoffLCiDJiXBBMqQlw42zWypcaEhJKfhbtakR7nHjxw8B5VtrVXTVQQ562nM+B09t
YDjvKADbwm3e0rxQh6TGasTEVJ4BhXEG+ql1FXqzh5Died0PSevqvg7t7Ab3YXvSMop3pui9beAp
iQaA40Iu3gtusxt2wfTxEF4o6VyGmlmn17gTwk0F+f0NESZ+ofGcmh7E7T6z99kQdLcWAdxD9dP0
Yf00gAyaylZDdJyNdsIWfaapGg+T/ZrR3KUIA83Bqwea4kkDLp1W+U+nSVg2D2LUzkOodbkjzolO
vHhTxOAFqwxzDMaSxbviSiN9ikzle9CLFnMLVIP4zafq9S7E8Q1TPZTOGmfisPMIUmguy2Pw2ZuZ
uNYsSb63jR4o4a50ta0NZphNAM7jlFBYA4cYxxw7ZKyw+DgiLsa6bp4lzzZ8sF1VfkdZC4uNNPLp
PesCCeKBA+KMu0N8N6rafABcLM5REFi7yB7N65ga3jsMQ/qbQalFs8LVl1tAZFoMca2h+yuriily
MWkIWbFKsPFNlWO/x9tZfA5RKHA6GuGzaSoYZV3JsbYyYjoqMJ6UBuYzL3gN9RSSthMtkznlvU+T
L06QVicesmhDMMnhwvY480dVVzCfieERDum8/8feeSzHrqXZ+V00xw14M9BAiUT6JJn05ARBHgNv
NszeAN6on0Mvpg+3qlTV1a2OqKmk2b1x4vCQSWCb9a/1rfJnHHjMQa35QbdkRwofXTQOzb6wOlSe
bmGXdezy2xJ6sE1MTyes0GO3QIA1L31WNKeWuZYeejqhkDnO1F05uct77AXFjX5HAQ5N+tYzuU8i
US24kBQovs1e1402mq7NgBUcRdvWv7TUie9nYxk1jtwOtBbP7oR4Jq3BaX2OOQ+3vv4KFcR+LtbD
slyPzTj2NHIIHKWL9VA9rsfrcaA5elNkLYfu9fgdjBAq5HokJ8MQn4aku0tVku0yzu2YgYyNTL/W
aeBzoc61ExwN1Q3bNCElQmynOdewPoBvPtnTHVfXO7vNaD3yrKhb3b/Qfe5UIm/N4mytUv2a/JK9
byVT9sA+TXmg4gg0Wf7gKOKwFvUnDrgJRGyOKol7UyuwNme7nGvDhn/H8KUeqXWdzi0NrtipuQ8T
gJTus0GkzUbChDZtOT9Hdp7OTm8TX1UfMvVNDdYU+dUj1pRfUzvBJhlIcXIt7DLBs+xfRmQgDKsb
2lzwd0xRPRJd06DhTuWlNdwV904CrfTP2fjh9T90PFGNy2xc+o/t4h1oAnh2xmoD9GY6kVah8Dux
iVj9TCZ9o2QbpQKjj4uXhsGtyYg50+9iDGYnFysM0hDJj0KlRzOX+VGPZcJQqMt3hsv9qitoY0FY
hD6/tozHMfYi1yNSW/o+tZhLdQGlGuxbHWRgkVUvwvS6yKkNOrWrEdJ3SSClsyzg1u696OqHTEKY
a1MmhollfjcS61iCXIkTmeJuDrjAgrth3PaC7iOqoFaUHwObGckhIi9ebl1nOYycBvKeUyCO/CkU
BEeGFJllcdy7BOtTNEn3sID62LSr6Q46CW24VmhpxVup2vI0zNa8NUa4JnjzeZ+BH426hMc+EVXr
Z26BiKcVAUYY1n1+4YVqr1hDL7OSUMqC+kcdd8fFSHqmFg6VrtQxFBCoX7zc/F1m4pVmNlzuQHjy
ajin0JBAz08BGeCK0bJWcpCEgdw0wSe91g9FZ+2ZD7POePFGAMGh3ah4Md3lSgwOCN/wDvNlCxXm
vfQdIHzeeCA/hrbSF1jqpuC1Bq/kzbIOy0rYYdyNfsSaaT6kdvbpu7ia6zg3N8OingmkTicOyF82
forVvJQk9D0RIXhk8k3jbbVt5+5JT70Tapp2Z6v5hPNih4I1wcCyAQAmAUSo5SGV5WENGEjycTTa
hrgsFWlbsnm6uY0Zy/gEJra1pxVbzNzB2Ui+rVnBxHfOrM6IJzn9jcFmyp98Ldhq7jW1qc5MT31H
CZUDrfZZm+7MQT/m4Ly3/mS+Tj325ZrfCmIgs1w++p7EfpTFngwTyit9HU2gTqst41SSt76aDvAm
vTfI1hQWGKiFOKa08djVb6hsEcGB6iKCAsMhZlAv/SUZCPGsJhYkTeeR0MPdnNUPxuK+I63iPM/S
XwktakoZKagxQgs+n1i+1D+9UZ7hvFzqIKBnMz91WLoRfE4NHsKwG8Sza5MtTPAgp2YtdyJAlrGH
VUaPFz3CP8hdyxojPW3eLKILoT/SxNT51AY0xW7gMyFxdqMHHmxw/eaMSjBFkzccPmbojj+qXNsn
Tkp+OX6z3VxGYA7To5FaXTQUafs5xWqHsyKaYzt/ZmIr6fxgH4entHa8ZtkusEso4zGR19pVB1uX
rCul81Kr+OgmY7Z1G9XsXJ+sGr1eztEP6uOUYhwDJhJmBlNZXgWqVgI4a0tczbt4HJKdj3v2UFnp
V5yMpFfy89IMw9G3KY5aArqZtMlq73jLn6XxYdq1sbUsC6c7uhmuHhD7zGYtJh8+1ROzYW3bJSYr
vZKe8flFle4cU3a7MA60S+ysDCZnLI6VPbuHMtPzN8OjjEPvMwe91OwjH5n/t6an00UqA31LERTb
C6SZQx9Y72bsYwDPg+kY6EvDrSZvyKVREXUPMUY520bomXPkemr9rCmENXawTcyfY0YEHov0HNzh
r4upkjMos+qI0kZFLoujh0X5LRiNbisqEgWBYrsKCVy3W8sQ/q5KOr4Rq6qJFuJbmQ7gJuajo6vs
SoQab2LS+nuTTtf7OSnETpop05cgcx4Ns4JON7jmo6hysv3Y3M+cJuMH6iMNkstTLRg9zbm/8YIF
mFtLNdnMXfStC4xYbZSWt1gGhWvtbaO7R4PFYa+TsC9SHZ180S6IggUu1sq7DMxmjnrLyiEr3KcD
IYaHfgZpUPcz4iFeA+yi4hMX+rAx2Rm31CQvX1lfz/DBcus8lNkdVYFqN48ASzsZ7BOTS2zVeTsm
/N/loP92DRkZpn+zO2elTPc/hgWryFp2tnO89ICOv3ccYPiWZdhbf1DeiS5sg54jcabdI/swupKT
pWmMD6bH+gPrZwgzAERgv3CjY3EP4f9B24J7uwJ04n0Bxz0v4jMdQDhqoD9kg7IuTp0xMhlL+zd+
dXXUlfaicN8ds5hjigVIgEw0y7M2xr997KrbpvzVYPBXG4MajVzH3ALOSG+0S1OTA0ZQYPckJj8H
5nMJEHRmPDbE5S+sBcecGyzqcsVleUYMLawxuJaB7YasLVgwcIPWeZwek14QVq6Y/ONyYGujtWkq
23pXDd6dVyIVx2V1Ldwg2AuNuaSZi7AnyMa3uF5JUnG0a/hoGSO0hSd1a2V5cI/OvlycymP80s/z
o+aO+p2Uq47Ry6NVLMXZKObVxTaBsk+CN+nLi1tNd00Vy4jc2ta3432FaSZUVXbCnH8GQffEb3kt
IqCHYqCTarH8KB3Wl0BfXmAxRL5pnmrYYnaPTKPHXFhSQ0Ml5/0POVLxi7O7MAVoUQcifhn1BWTT
Yt+V2WfcUtrCSm7TDhimbgavLrilwvoZD+fOnyJdDie6S5gKQtWK5/x9sdjY8+xdz9xTkJdv+cgS
Aea8wKes2VE1u3jbsOhvhG6FidmPEXe6Z+6VLC0E+ZDZRm2rhjq7TgSZfpjZHI05FhDqhx7I3H7C
ILp4xtq8alyZ067s4/nc0QnxFMjpEcHmDMuI4/63G3BpGT3scIT+X6XWXhwDeZ7vKSygwTemGtut
rkOTQY3hQCqbjWDMk9Zq7yT3ueVuxIj9EdOCmRtABcrxrvTWlH0bTSRieX1BWSf8XDmhWDCKO1a1
bAsOEqpyQ1p73IlRvQxe98HTvVs87aI8Bs7Q+1SpaL2eRXfHfPBaLMtZa/OIW/QGE/HRWMpoSHsg
NfVG2vLFN7s+WtAof9ZGkV0DYPzQngSxaotsiw1eihGMA14n1IVW7kz5Gk9pqKbCjCp3rrcqvpu5
PWUxUEsJ/KNup8MsV/uypEbE7T8Yd3NQ8Ft4NBU6ohPFnns1Zf4x1/abm8yA7vEVela9nkg1Kger
BlqJOx4NS70ImBtESzB4VcF1RlLaInZFqoLJUiGlMXeD3M/FtNYbe5dZi35OpflVBB1DVQ/YjOtg
pyNRAisx1GKDX0h8P7hzOJGxEsweCjHu2Y/TJ+jc9U0hxRIHz8dtVufeD7epcDxNSIHQ+sKlD+iW
qVaXpTfdNAJ4PoyvaFT1VcRY8yAfbjGPbqol2GncXh9zQclJ0j5jEv+UBb1ChHP0OWmOrRZEhRWo
cGhBEfJxYGtrqHLScq7ZGqRqOVm8siYM9YMnG+sR3pwMm44ChzAJcmrVK/rSkGBRU7ar+Yf6A1ce
i94YdZgXKK4nQ8Hl6YC02BvHirXHzNSTsA68/pDigDqO1cL/J7KCNDg1EwoG8DagPmgUbMjaUQXK
o58nbk2+IV/8lgsWqLBigjswYUyDH/hlvyX8Mp0uKjABRmyERq8lYZAR1ewILJLUWFHicaIfrcSe
jombGEeJK+Klcquc6g5tOTvSPv3rctz/7YORv4StTWC4/2ct7jBm5b/T4v7+l/4mxuHGMQyXUYKt
e6b5p+L2NzHOpXDRRoejg4qszJ+K21/d5dYfjCjw2/hsh3h1AgeF7K9inPGHA1GXzYjLjOeuVp1/
RYvjC/4HLS4wVrnQYQrD4CZgOvOPSC9NliUAoDVMnS1LmDRducL9808jcX93g/mEIdelXd78UJn9
MZRcCQW20AfymCMJCWc414ELDL3Q4OJx6f0WzpLQ00v6Zq5TDaXEtVYBve4vVl//9nsTa+2cDmGH
rPTa5lSsubhBuK5hM76V2CYqAoR+E41QeO/A29ivKGf19+Djq6vHglmC21LV5rYMTDW/xblAsq8V
YQ4m/W6EyfDddtge88JcXnrHEVSECblN3JLyR/BmnNdyqgaHYIi3Bh1txEzASG2qtLI+wOnCD5pN
Nhx7DbCZKVG2Abc7GT4fAMySWs8DwJlD3STgyRdEwbClrCuKMXkANDfND11kbI7Ub2MSxUocUV8L
1bXODCbQtX3vl1625ZyoEeRUsHmTGNhqkrFTUPh6Fa4mtymj2h0bOteauh0Zzpr1qfkzl8fQZgxr
LOHFsNxl1vRj7IbHlGLDp3JptKN0rPQXuzGV3CzE+kIfF7ZEfUt7IT7YQpsOyoX44mPvvjp9696b
vvVNppJooLs6W/tK31vCKy9Ym2f2/dTbz47UfIpyZu2NmnR2Tw/Olup6733dJ0h22hCdGEBg+MeT
oRhDeDif33Rys1E50S89akq/5ubsHZNixWh1CsCmCe0EvXbkc6MJiK5O1CXdqukurxo7bIJq2FEN
Pzw5wurv8S/PDJMtP6yxOh/LiYiq1hR+NJhmfqiIQlEz5GT3vmhgcKTC8N8lnnJY0uN7leHJtQSi
qu1N9v3cll+ZkTd0Qc79fW/r2rbx8UShBfFvADE2IvqfmHeIkQXXbpawbLru6Pt0ARqlG29tK2kc
TERte20K6sV0D7t0m+ecwxiBQy5De72fFNZYnGrtTc6+eTc0Wr/rqNm+TL2XHW3TVqe54eecREAx
cuLiPlDQ2zeB213QF7UdXmy0LynOxN3lxXKyA5YWShj99JILIDtdj1KgoR6dEqcnhmoueNZq9bvp
ljDXJnmYKX7fZGbioYvM+ZWrTLO1uvRO5V13camKDiut1HZOtsShSFPQupOTH53UeKd49blo61tV
KKznZhrv0GuIT5DRzQum64GDOwKz91Ou5V8QW099WtxZQjg7zNVXj4j4xZmc0I3taPL7V000gGtt
O0Kgp8xubh8wyOShHjvL2bJcAhzJtJ+mYudg5MtRNNdE1Qd3p4HAdtHACWbQCZGQzXZee0koAJ8S
3V2h4lvlVKhUU6uTkYeOpVfOOiDDpEODnrvl6PFRaNltSJ+7gdGdmkGO8g6cUIZIzPDut176iKSZ
hkNPUqyWXAwY0XoACotg72r9fYMWOg4S7VgfaTmzueZXA/ccIMlXjaefFq+22VaL9T5RiXGWqg7C
sjcpTijefVlfXWxg2Sh+DA2inV8fWx9KdFWCTIbYGHlOiXPGwYaSQIn2m2PZkKGhEnTvBxzj8in/
EdBlVts3UuR7rxzaSOvwIceZfY55hd998GYb+m5xbi+TH84ZsmBTCWa/LYPBGu9FMzicP8AIBmVL
6cf0ZvEVDXLHYdeIe6X8Y5VoR4zEzlXvaEEIMMJxqOpQRHRxdKz2rOyZ0xy+yFpOZsjR5YYpRd84
C7WdbmGyZoORIILeobV6pHfcIn7MW6hRWtmSh85hfEB9g4Falzox9IWaDKyIqTO9a878qfvt/eJ4
2lZrCNtNLti2xdK//dX/aMUrFaBZIHalubdJ6hYjjQ8Q2XSSk+W6xVaBt4KBExxS4f9yDPFrYtAQ
pqsDUscKma6eyCG2mlD0WXdYMv2N5PiHra058a5w4OUqP9IUl2rbr86yy+Y7dqqjUYzwrgY93jPx
JTVulbwQpkIvdeW2Wd2Xs4RbbWHIXKasihZmcJtyKJ87V//J/DgJMVE9JwT+8tXCGVTQ55s0+DmZ
y5MzFa+M9nc2yD49Kc/0cakVtRVjGhfNVsQUezJ2OvNkX6ceBYigjxku5vxsGSrix3joqbAifICz
P31dI8Ta3GdhXEDiLc0rZw1uuCvHQ4uXX0yJFmz6pX3jrbjHTMnlQkIF7lUBf0sHIB3o33qC8t7R
ZwgwDT4bK34TL/uquxH23Ll4+zR7PnT4WUk94bdsj4VHHJctZieA/hus4HyFD6FLLOMgtPq5ObhF
9e0kaUbjn2NCnRZfuVVeAjPtQ00XKKK95u2xSEYgwsMy+bC8qwjqq544F/B+Z4b+coP14gFFQIIo
9/f1UgS7RhbneTXiJjDb0WxJLtSu8atxtNXNtHP64F6zMQaNXnYLlpFCthwwYUkhTiTWOIReEIfw
VndvN2psknkI4Lg8qqLAoaDMlFFYke1HNrYgZY9MejqSEsPT70nEP6pJiqMHzZf4TkJuIxMMrZYJ
x6mG6UBCU99Q6cQhoYdWGsyfYuEyugzBl9U75mlaJHKiyvmC9qvn7IYB+bSY5HdVIh6RucZyFRg7
gTMubPRy2grSHAlm1o0McLZ5kBEvnFCMD5bOck8qfOG9LH6Y9sIq2fk8ztWw5uGrLNKy2t+yubwn
qzO61ZIb6+ab5nBMaZhwbBph2hufIpezxca8U7Xqt/Gs91Fs2c81ns2NIflagjndTh8bZhJjaWw7
NLY9TW39viUXSCAnSM8WYZjt7Gg9VElt2duldksJlu8p1tx7flfu65oC2d7GceHgt9kGi4c3lyc1
dEFqrJMaY+t55MFW51bQkaWgfGjZOKbJD8fFDQ46B0Jwm4s2GhE20x+ySvFPOlAGkkQ+dEkfkOaW
KYt69Vs5+u90kLf1jBjaykBrHkQo68oJK5ugfAKtYlNp49WqE5YHtXDeGEV5z7IyRHQxdqGrO29i
4hUXwaoNjIl9qaqlOkmfLExCzozzwEQ4nn/x52qUjgqJDLM4KXc5vdvKPwd405/DPKRNSMzLlETd
LHJqLuzkmJXdU4GGH6W1VRA0y+Iz0yIaOdvCDWlkjXegKrKwLDVjRzPuo6zcEgOl7A8ekeazphci
wk7nYrR03R0JixhHNA3OitjShrIAPJVT/lE77I0yoaqvYHK9ZboJeFFXlCaksLvtFstGPLTJvuTK
sSsxXm9UqsNUXUeZmd19JYxFwaCS9EBbQIdaMBL2Cdt5rfQNWUv2FZVf2jzhHxg7pBsr/VGODNwS
e0GupagTu63H6Mks1YVhFYfVAUheEBMxSkS97ZDRtoGLwhZnoDlLt58PjZlzEvG1EauKHhwaYVyo
ZSTJ6Vjm1WDf3DBgKg9WbahzMYqjC+0WaKHiuavVdqia78I2k6fRbBlIamxgjWJLovr6N6HeCExN
C3g19nHmxlRGUcWyV38OhO1Fsg42fvFAypBi93Li17Lmd7yYOSps+3PuZ+8UkbOrBmtdkO8+okZd
WybUd4AT1MqaoPRIyfjX0vO0lotZbXA05+dMmNRrMeiJkOSWG4UJIAtbB6Q/xgAmsMsULRAor61u
FVuTTiY2AUMgeXRz8JqsjoGSXkm4Gdq0dYZ6IXMWzA9Db7x3wrPB2DvWefTFHHqAGvatJb4yk3MM
qPX6qezba+2OX8yw7uGJQDTkR9hok+7sA6NrnxbVPprayl9nsm1GJobbkJCn/xEsaEq63zPZAV4b
Gv6C3399i6q80S9euuCRDSi36hO26aDrMBul/vJEYK06Ybxs4OzAWk9y/7FPxC1ggsm1oR7fEZiK
Y+LNNhsEGCAYvPG2S5gyY6L9WTJ6jtRqL0hg/psITHTQu4AdngU6ziFPtXrPXpY8mGTKdkZe5SdY
O+/Kxgc62PG6PxXVesokfs96TNmK2RJylTL48Jb2d42BCzSU2xFdSvoOL9vk/2oHh+p1WQ8hvu5y
F09NelroPI2axsi/i9U80bnVcsDpLa9DS2bB48aqTzmTj9VkoQIKje2WFg43CSKr1F9N9t0bGTH4
P3OtvoZSo/KjCy7/uuLy/06o3/ivS5e+xvZ//lv/HyP961/7q+7iBn9gMKJlkeOIw3+Y/2BINf/g
iEJeAJkNE7qt/90ExZ+sblSdP2cLw3fyd0OqBmrPRHDhOSWiz2GYHP4/OVD/K0eqr/+zI9W3AlQf
olUW+o5urlmsfxReUGQH0GykNr3akR+SgN+nqJ0mRjNdph0GQU6AjLmt32Yz4W4Y7SV+pKLBOHvd
5Nwm0Rons1HGCYs+WUwBO0+Jbjp4akHPAGlRv5QwjeeNk832rlN6egYBjqa+So61lw6Pru4KQO4l
Yw+RPaKsDlgXZh00UZ5t62QNlWvwQzPW+3oxjssijzI3uVoW6VWSw9hkYkK3ZNt8actU4/hUg3B1
DW6A0uZO0A5Fvgv0sYgIZqCrcjXcU/CnRYyYqDYp646Yr4u8nZZqQ5l2jG92ZIOnCwP0kF6b5hsO
heKuwxQJHD6DdiWdba4lJ850B6ZVuI6M+5zCJJK0rzJhXGvWer4rczmdpgC5wc0wjKykKxKg98pm
LycagReHTvbUNT0GiX4RojbJPdbMX8AesO+Mao4In1ZhmWPSKIP+Jxodd+TYrTeGy+UKx7n2MLG2
Y7hAGYDLUsOx0pZQNnBUs3yeGCmTOSHeT//LZHX3U+G2p2qha9f2M0mhSe+Rrfbt07w0CfBjKjsS
5itwCdqhhAcHdjTVnPRSZ0R6hRfhUyOHCcyaSFVX7/qYmj08O1AT98or7/LqK3bTH05TP+FAika3
ap6AhTlb3FPYX8u+ikPJT4TfImYwWI6UXGhz1/30zb6KpFWs0Rv1kZaLwRWXTB4YLQPmdlwOh74W
7Xr814jR92P67Y05TV8l6L0GaxqY0NQomNjNkokW4+vkWqc5AWOz1MX06lCT6j8pCkzIbLnJYhCJ
GjLGgYmvh5kYl0d+bEh7up0c8HOJY2do/erfUjernDkZOUH35hoVXgQIe37oYophtsU47WYFAzSm
ONa/giBnqW8GNoG2a33yGR4XFXLNw1GRwnj1/Fm8z+40IdCPcl9JQhabvtRQUhJOPRtTeO6vGvjj
WVBlci4MM744eRxPtM/04jEIRnlpvJ7KK5IH2Q44uXHp4th5zIQYoqIBLswUwXhxx7I39ktS4AOx
2VMjK82DXZVm3EZGzau2xTKTjWsD7yzq3rufhSbe6wqyjuPa9RecrfiW2hyAOwdDFwJksYQIJO4V
T+Swr+cAprE29ADa9K56xFLjP9sY7l7mJaDsKK5csuj5GiFeluCO2HXzoDXD8pQOuXtL6U2O3Gb2
+Ext6d/JYIpX/l12YH5o4BnM1zuTlM5eVRo9lrFGwY9eYqN0OZvRtFqjUuW6UlzxFR+fXLx+XONd
6pxSWAPGKlfFpVkW5yEuiowzReYlnDsDy4IR77r0MiS6qX3Sb88A3R2D93YwsOK3AxEdHGNAS8ys
ewVwQOa7WXKsaGXCSggmnpe+NepnOGQjkD9vJP9vxvkEpGeMedfnVsRYQoBPCMtHg9Sf4rnb+jri
BM2LAa4xzC0hUxhvCA2vYYmrXYkeQGHsk2PG35qXlS9BlXhhrn9V0ouAPSbYs01Fus8l1vcQt4yI
rKV4SgSiN6nS8pjxxlc92G5trKcP8Orp3tEI0IZ+Y7mnRDhcNwZCjHcy7qzj2Eid5lIOMgwG6bET
G6+OOW4OGuEfYOKY1DpsZ1A8cBjOXbsBbeb9iuEW3ruzz31/kupaDGI7lkAu/fIeletNt5LhaFBK
Z6qh/dVxUXSS6uLMJGg12wtL0/ePvtEcJoV5cTHhjpAIsoblG1BeGpZZ0JC7YibcxfxSseniXPMq
mOHech0wP21Hn55c2egUSdl9/4KQpb/Khe2l8ZW+61m99jq3FMwTJhALQJgcI/EZ9CiJUW6BpeOe
B2PYFpFhTDdE2zcz9Q8tRpR9rMdiD0a5PZmd0x1WHGYkmJr/DNKhea/0BiMRWV/Y0gejt2dS76e2
6g7SWDEb63VQJbYVqjptKF7Sy0Mv45MFwuCZCTlDRjaSyJOoMnlQYI7X7GJfpRhNfIf0gsOVfFOP
NgdQg9aAWlXlDZYnNpQyB6g9u9p91mVYP6yyOmSibXdNKtvQKGuAHfTD7itU4101emIVTas73/Q1
bAJZckcTD6FJisNDlU4yAv0v8eLguYsDvHqOMRfhPCpEg7hhq7BS1e+58cJhAbpxa3UVNdALXt0G
iLfbwQPleA+q7aQmow5np0E1tSbI1Ip0Y8LOGRotlx1jASHSBfZP2liIX5nbkSWQerfYPgEth1Bj
crFyk7QHqoGtbPR9Z68VJBcIaD9b/YCtBSJFQ5T1BOa5eINs6f1O+f3hv3D0MQSdXQ287XpO23NB
pGXfMsYiNWgRKsMYDJJb9tBogMb1yBEMU38ZVnaIXTd7tpS4JO3XXNPahoze5jj0uN01jCWHnYF1
Ciei4WLTMWRzSwEGGcs6RNFV66MDDCgxmaOuoMFSbmDmppMuWiDlDB5yIJjTbTY4Ol5lzQ+XkSF/
zgkQUY+PmSiDf5rrwbnDxz6v4wWkAgUcRG+uxMTDsfXqvbKWmiBwBZiFBx3QzrOEMMvZZQs37ZU1
0/2kBiLZZSXgFDUOYufmsX+YJ2HdFaM2nFvCEiGWwBpLwKLthsb3n1iD8itb0Z3GKNDeyES5347I
28e+tDnMLSNWiT5GzDempD/7VtpEDmOsnUDkvyRN0d2k7IjY1Nl0K/J8+AFziTfLyd8a0QdwbBAC
LqlmrZ/QkmYP1SKbTzMdqm0CqI04bjcy7I4D5iaoLS1w28Y02qNcgbdwWuE/LVYOirJQhDk9/cEq
3H0LxQROcF8+OoHCgKkRscakEQwXqE3pbtRFsMEJB2nXApnx2az43STJhshfkbwjpSK3CTbHvKJ6
NVbBM4vzEomaeYOYAyYhK9jXSN3uaK6wX0tWn3NFh80Emu2mEwl6NPFjsflgO/9BeoyWnJUevJi1
wBHU5919GuTegwM86gEWtHFwOtjDOFeWnUxjbCQGtuSc5/5AlyLWhr6jc2FyxKGAfxNZK9G4+wvc
+E/QMet9/pD7RKpngILb0mrGW7eykZvKti9erGFAbZx8RvmBkIsOD/QdrwiE5cK3uO/bK3fZpBZ0
2Uw1b2Vv+f4eTjKVMmrFNq/JWq66ZXPQV6hzwzyVV3FwSswyubyNK/5ZriBoTn7Vz3yFQ1vaKCnw
ARidl5b1ZP9JkSYNYT72K1rakF16Kjtf3PvUuRx4YLITJgImq/QLit3KADvbuOwQgjuMehrl2xSL
DHVzwQnLADLLcW9MSfnsBLyJk8GahreHxR0z2zYoRvlG8XL9iVJiImHaWX+FPzQ+WkGdPq8Xhmc3
sEA/JU2CGNpxv57GyntwSdu++zi0rgk0r30MC/mS6nOGnFwYV0cYxXfMAZhy14Fj+VSZH0vmdC9E
Mcw13K6BMJs5ze17yqyPNZxGEIFcPtYqVUIZBmPdYx3MXR+mfqa2lUg6hpFZ8lDD1ek3InBrprCc
SvaxqNd8mbUOORsgPi42WXXvKeuzxfD26qrG3gf8Fm4mZehQIUfnbDQUqxoBtlyzdtxnpFubNFhR
pS+aVuXPjUVyOhnJUIkBBqbXr+VoGaF1nT2Dz62YloHnIE4/JQP/q08X5nW2vZI9OvfefZiDjOEG
A6Oc5S9YNWeb84Pit5QbGktWbRnzk+lnbjQxCP1iMNMfU2+c842lSQJ/et4bb2AZajgt7jJAM2ga
/1Eb2/E0e2V+h2AGPRaPFb0oArw1hxUNeY8OnpkcIgNVhqI5IGyIOWzWCQfmacJdlnYLdxpVF61L
eo14GXCa5h2KMV6qjhP3qwkOCkxDLhugNXzrH76lQQemUPNOz72FgdFgPxS1nfFK1125dSo7eUnl
6MhNzOX1IaCt5Jgh+h9iVlrKcYzUeDKyuWbAY+jaxU2YfeGT0W/Y4EiMJXMKdGPGx13nSYP5qCf0
nFmauG/aXv+NECtuHRGzx3xQ1dF2xEQ0ZZ6Tp6HzMQjF5Ngis2woc0DBxU9tWPVHZxY83UtK3Nwr
kjcYoD5ntKl49FtFcRIecnJ+NW28foi9ladpdGe07Txrb06WQWDIqJCpe1ejBWSmTjUrnPSzbJv0
gbgfE5pkdZ45ikTPkW+dmEkhKkydKdcKa4bLYMjMOcylku//X/z5z9Jvhg6eBgLNn5/OX8K+26/h
66+d3Hdf1a///t/+R/VFo+TXf6b+8Pf+rv4gqvxD5Jh8899cN/YfFEp6EJ4D/Pn8lb9abvQ/IOUE
pNEC2/YoSPGYQP9v041mI/4EFlE139ADA9nG/VfEH/ry/p3rxrWQr3VYk47pkofGlPtP4o9X0HsP
uZCGTvyl92lcqNE96WIe7U/F7WxwTvDOPeq3MTO21KoQuAZEIgfspCtR/K5a3PbTa7T0Z8atiEms
qTG+Kbl+LrSgZMkjZnzXDNu4Fa8tBJjL0DqOQVWMJDGWi/rF/VMmwh8wHaxVO3Jx2kTGqicBXi8/
CljyoWsHL72I9XORz8tFddZXEcv+Yxmap3EVpvw/NSoyTNNutoMaqKy+zvhTL3+F4a2dskDYd+b6
TsCLgd1PYaDcj+s7Ewt3PpCl4EViDshLNfwv9s5juXJlS7K/0tZzXIMIqEEP6mhFnSSTOYFRJbQO
AAH8U39F/1ivOE+/rjd4Pa2aXjMmeckDxI7t7suHAjFdP2nUDie/7OvjV+onkcMVPd93B9I0PKf1
9ZF19dNLn+CM8r1wdq76KtLIrJFnXeqnvsq18iXliJbSNbtIJPa9k6akBnLgsgz0vDgimJHb4fo2
KUiXsKigvmqV69eNoSCddfoVVPfB8psHv71T1zdU15nVY4UxfNnmQoWItbzMOgakB1e/4CL9qoP+
XhpkaSzzaQDcXayyP70WeUHCWeiI7Oi3pqdfoLTnqHGtjDI99/Uiz4NRF89uPcAWDrroEOp3cIum
c1BeY/2wq3qkAcEOHr1hCFGseG+7UwzvZwFH/RPwEziL6ytelnNUbqweW+OKdX1yKPShEGblcBiv
J4Xi3OEHY4VwFgnJlBWCcwKDQZ8uKSTpW1/Ewwn0RPBYZxWiuCeLGlvR7FqvWPIHc8VlnEMraN3+
OOuTzNFnWqaa+Sm/HnRCn3nQHByu6vokZJvF0c08yPmoT8rZxHXdF3ZzsxAH2YVll6KnXE9XU/GT
ojCI+J4uWMmqgiN5AeX4A7kveaYoMgpo706SckfmPr1E+oCfCVPu42rsvjU/fWeO7eByU9GDwWCo
mARZ0Dr77jo6LNTG9hQeOgY1iMwWsZ4yutIjx5Owyzz6egqBkMlAUl+HE6nnlEVPLJNSKD3RdZAh
y0ArMWS7o3EddiSh1A8Y+NZNrGehSPhMRXo+orw9uPH1zITJwr/nWzJImXqmSjm+jqGes/zZjzFQ
M3tJT3Q36XUgs4O4/uU68fhKsjTfgNenVMooPlK3Tg9qdF06xZjt2iaizXVW+XYJw+oSZ3oILEUb
s8rSo2E9OSwXGh/ooG9vG2XPP4lzif1E49WauxirNcbKOkjhNppu/ZYGkUnI7dp6snSMQLQ4cErT
oUY+eA1pM6BLj2EiuR8nP3pIdaNKXFrDg6jD5rd9LVzh9ls9WONgBqwg0wRyVGScltTuahwabOY+
0MnMO8BYeUweUI4NRQHTcisHw5YbAq/za5pk00sWuqm3CSkoyAEqxGiVKmG3iUL0AQPBpymMsqxy
G1zbY5akT25pVAYP4xh7gzjbT6u27APrT/eOdquQUFtnttTQgIg0ub9pBrOpccxBtwyUq40PU1C+
9b4pNg0a72a8YpsRPweiGVxjV5HmOpf4xN873FiUI7o/qqryfsdDu2uNcdxCMWLF7GaJfIgUiR+0
9SsqWjJpmqmhc2ld9lBYVyMDAWUmJSdsdoaRxb9UK7DCNOboiVWFrNTD+e2Le7EUbQI40pMEfTW8
urem6ZzSGQjzQOTyDRoNoGsQO1iZSHIXz/JPKGxTFg+yqYKndNKo7CyGmu0bTm3haiwwiRVYpu8q
uzcePWqwGyxfip/HdtHGx7JmU0UvoSSkuIzLCxk4WrrCqvDKk1tazpeQk3tRDMMbpllJfk01h7Hp
KWah/pmr07JEYHuQkhkFkcTcbGSV0VsRZY/VFJ7LLDJv07L26buJNBpocDdTbbsnx/bkijXsfDKa
UDxgvMnv47BPMLeUTnoTjG3JyqJLYcsOffJSFk529oIsY/Avy49ySnHVeCOfxcwTy465t8SfUTT9
D6vJWOWJYkpmCq+G6kmmLPEwdcziU4louFhWgTMEwCI6MJu9/nfkjOlveiGXs9e2WC3CtAlP5Bjl
rZ9bxakvneYw8Uiyn+Zvy+auluYNwEZ7F+L3TXcsoMWpcVVAcGS2T8Ir/JcuXJibDeSTCR/VV1EE
ywMO1uXJyHXEp+IFsDJaAPR1Q1AO5nmKo7/p2p9uHC+XSBDKGZ1G/pjgiX8wYZT7IE7UUzKJ+ylz
kr03j8HDzG5zxa0ioBLc81rcdQHNNKAix+qD9P3IXj8i0qnc6ZUlIpcx5NvxNMTkSGIik/xS8PO+
jfUIYyThZKdNooHJFOHGOtEFlNMMMYXjW9V3NIS78TQ/pJmVsNFpxuWbbaJxF6Gh3BkxZUFVhUMn
DqLusTP1P2INjfhOCV/fLK6tDo3qx7tsLAjDNkDtKL5XldpwT8dFEblgPhxZhizZVMyGPhxHwszW
be1OAzdYFR2QkdJX1fYYIUCP9K/OHAXHFPzkugBzOXKdIra/TmaSUJPTLLy5LVhVGqJNvYsl5895
xOYTI9a9ETnk3lSUgLIX/m32WWnuszbigrpMM41wxnRh0eVBTAub6S4mMEp1yNBcuHAUdxahrcsS
m3nHUdrC4Y5Fr4sqSkhZqyVW/hfB8GTLvcN8ZvzMen5vHP77jlfhXWLgwqZnzhv3nETB45yG5mNi
Oc7Bcb2c3EM+Hkm6Ll9GEpAwNpAnuVnXxVm2Y8YLKOYlOzQRUZOWwtPnRhgdtXVzHd1jP02+zS7O
PnzQXL8XWw17zAke9YJs0ijOHT5FS44GKh1cWtuuqz3up+bU+xiNq4VFZ++Y4e3Er2lfZYN6jps+
OKWBVz+3jSu+7ELW9O/GIMdrhfPGUIRbi7AtX90cCva5zKuIVLhFvg8Gnv1gmw4+yCJPJAhfxY5c
BLEOFCeFdws43IjBl3pN+WBH5XjpYmdk7KNIea467JWq51assqzc+4Yw9/y0HWmaCo9d0nXTQydD
Z+cQJNra2CWsjSuW/rEs3YCGVgxb/d6sooGieyFNEmDVnxCmxcNUVOqTnDstMQmL3l8h0XB/NYCD
oaE6WPDJQE/zLjgeh1vLMNyjsRCRWvdU1H6nTVn9MBtfN/axmDouUmKn60vXfo8kJQ9r00jmSwbP
4bPicTy75HT3zuD0B5ckmFqJynKOmTVmLZlSB5JQKy1G/Ejk3d5ko64AlgX2kQi5c08+tLxMrkdw
BeeofwiT2aP+K1+a52QQ7Tnj/KE6tci611D60fPihd1tTWfSbW9lzkOVYgtbM0zqHsReJ61NVeMr
asLyy4vt+tDX7FfdvuH47Fw1nqIUk+kqx/CTUrtQecxRA0pOmA4Lex2vo3zEU/2zLzxlb0w1FId2
sOisLNqF0bRQv7KJHTmfy9nCPzwY4w/uQ9VjM9fyPTUmv1m3Ram20soppswn8xLl2nAKv7zaCcQl
/EkhupXBXxCAJVP9Jls8ZL4eNO9zLi1eW9g9G9ZHXXDwcaI8NxOB6saLsSplEMM+Srarp9KiEyRw
7GKgTmRol7UvonYjec5ABrQxGxRiC4CR2ZViUu5M5z52LLtO9qquEvLTiwf9Hy9R1HfOaRkd47E0
rW+KPvnjerCjcP30FIphKsDEq8vOg75pLxGk0bvYcoZ8XVnm8DWxWOWAs0EUbZpqkdR9eQbATWsC
v412wwc/5nt7W23cpB6NmKC38TqORp6m2QUmVZrRcJAL++N17deZvPGd1vioyO7/f7B2/muEe3TP
w78O9+yH9zF9777/E58JX/e3TQOOEBvnIwQx0zcd8jN/2TQ4f5D7cU12DZbwiPMQvfnzsoEGRhsC
r6bzQL/BBPL3sB3PJfjDP+oHbCSETuz8Gz4TX3+XfyCfBXhcHKhnFnKHJyyXQNPf+0zGviuDvihi
LARV+wj7s5QbUpjAmjdxTGiGXOSMz9oL618FgO77+CowpEOUX5jmkR0K9YqrGyHCLGb52Wp1IksQ
02J77FjRoV0UfDUjD3pGYzX9udMax4iFby2vwgeGjOYRCqDHTlgLI243bbjobMYiyW8GrZyYWkOB
g1PtWq2rFFphgaro3LZpGR6U1l846KDEaE1GjbX/K0OmmaXcd6ODRTr44SHjJKz5VkorO3aXEj7P
q9sFd6byuPHbWgvyICnfWlofyrRSxIbE3cxaPQIkjpqjFaVEa0vgtvCG0/ouidMW83ou0zdyHuoG
74z/cwEVRyrGrnAAYzb0tIAVaSmLhAeqFozDSu6aGrErLgJ0L4p57B24fGKyuALYwD800tga/bKR
Tf00JgWn0XSV0cIim5/Nq7hWEPLEtnsV3XzLzglACxsxru9ma1jHWqNbFoFap3W7OO26U6C1PN9A
1EPci7TKR1O4x74F5Q+jQ3+X2AVES60LjlHpnkatFdZaNZzsIyTU37ZWE5WuXTKIfGO2ieWNpVVH
pfVH9vwVTWVWeGqifqNV+mHdoluyNFEPRcnmhEG73xta3pxjjX/1tOhJCSlhVmcZtrmWROvEGbet
lklbKjY2kZZOIVYhjmk51Ra8EgstsbbCWfamll3ZGXFQeGOzG7UoS5CDHIoWalmGc8SHGQxZLeN2
qgZ3qaVdKwLtD8pnXhVa+I0MI9+nWgx2OjghthaIR8kYZGvROGuLfWu+BZ5fHGjNqndKq8uD1pm1
sHczKkGnBbdrXwvSecyUmN0q26t/ekkwfk1avWb3Tt5TK9qRKDi3HbfdwVkjn4xFOw3QECbjvu0s
6k2opDZ0h2HeGNnW1pI5RFNq7LSMbmlBPVgGtldaZGeQUwdqEcyXVLn986DFeKll+UEL9J1poTpI
UD1avG+1jI9iZehMdI25HZGfRqIPheo/o/5P2gYQ4gdoCEkTyfHXtBVRsrW4r1EaNt9NTuFTBHm7
sZbXWeHoFta2nKaLxxXhxtU2hKGfvbtSWxOkNimk2q6QtX7wCC0fZ3Y8UzriaWNDieESR5GywNTx
WnoIwpl5n635tsyqZU+JPBsCsKKHgUTceahm+y7p3e+aHcGxy4zvJk0GTAJ4N3F+hAc3fTMwE6wm
EeOhGXP7GE+l9SYHr7iZpd+vsniyD3Um/G0rZPnSyjw9egSM7y3KBcnvT9b41i52+5q62QRJUW+p
XFmcCAiGT5YXtXdlOw4Y11q3Pthkw+5k7ISAyRFy4NWWj73t99QMzBm+mYUWSy58ByGxc6/nXIYv
rWn68H9Ftq9wEB0KDEcvYwsSSdGIMFafS+OrXR3w5WYnJybZxH6mAaSvNo5Xqe1IicDWzInUBOw4
hjV09nTfVMLYxfWUHYMlLUlkFAZUawVbwQ7ua/oeDhOttw/QPWAcxVXYr63RAuERD7CFauDjQPja
z6bKxOPUsxZj4oeOW9We88rw5vabihd241xi2gZmr7rBvfxhds18Bw92OOeh2f2EEBvxee6jz4no
8k0uRLvDiaVe2buTQ9I2MpJ3BUGxPKIYNKqgmtAOQNs0Hmy60HxVZBc/tDLImR6ooBynR9mf5Ug3
dVJxRVw7QV4dIzoDb0bHbTZUM4wn1H/wGaXKjj4p2LtcWR5koMo74DaWO6I46OjW0ipUmsZ4sb1c
8CPHxMTsLsw3cdfGPnZ3qitYaFG43rsZGLmq5zqYUvB3SsuhOrdz6j97FI/MEe+yJHiGi1nyKuwg
DliAStktSXMd+zl42Tl3Ty37L+6BFKTeTcvYX1KYJW9t5FJi6PiU0AUuz7yh3cDCsMAzB90Jy3hx
M6ja/tFag9pOngTyHaGHU4/gPQ5WFr4NcUPXopG77O2h4JHp8zFlfgXKJBEBJpDObqv1z4Bxrd2A
df2rwa4HQyhJDqbVih3cIOOzQeY4LKVPqqlphpwddO7RfDiat0aJ0WNVYzLdsHysnsB7dtCyqUPF
yM13XfMcVlA7xrkGWBmW3+Vk5odQtUCwqLFzfrkZSdIuGOl+mVjGvBZchltejE742yq9/MkvcuJr
UWF0G5/X3mFUcXUmTRnfcihOd+zX4Hz2+tM7d0bNtrOILPr2QiTO1PGI0ACxwdiX5/n84AC8eVAR
YzQTRsuBxJXtnmtp9zLByj+2PQtsELH+tgtn0JayU6+15dW/o8Rr3qY6815mMyYxZmFR2FjEbR/k
7BIqiWtOyHoyuZ35I/y4bhnto91H03lOKZAijOk+cdXCeQmWUzyFKZcxjDNguWUe3xEYc+4qM8TQ
N6qQ60Db82rt+HCuuUVrgVc23QfBIckabuljWtgZO3Ze2wTtJsqi8tDIKd2kyBh3eULnDCyp/LP3
yZtEflS+DENt34ZdI/gZqC9wiRbsfdmmmyCTfM+QqxoThhk5B88d/WOZDuLQo7Csp6GjntQa5/AV
PEJwZG6xYbPn7jsJYjraRcDKwcc7d4TO32zDBFLMKpSOV+zI60bHcWrcc2+q9pwXBY5WBS/oyQMq
chvXoXjJe9ndDcY8U7TkcWbkXZo+hm3gX/IytpdtX5dsiDNARo4sQDvIjo8wgA6Bm6lzjUM889Da
mYBrxRiBu5FkuO9Dd3CHgQDi6D1HViM29Rw6L7457GhmqdZVWR65BkXvRRSQmytkeoQ+IVeuOZXb
JuB/aZXZLi+bMRQ/uap3kOIB3geGbRKnmoEYkmxK5kPc2MaRYFawa0NEm7gxbIpT7eI2xMH7VJld
f2JcHz45pOnBoXLi2DHh0fyQ1AwBYn7iXXWBGEfSspoPPNHZQ1WV3asFOJbU+NXaZk/mQZSQ4Nop
yZ7qus6xfA7ZfExRvjd0q/SXLJtwi/iKKzhW6hmrcRemP8IWI9SqD031GMsw+ozAQH5Ndape06GP
7424Y+xtcQxJ9Lh0KH5kHAnpayao6F0my3zur729pG9fbZp8J6E7fdkvpsEazgtdvyNs4V+lLgD2
emd5ULoUmJH5MzM9/8W9Fgbr6mAeKFqEzRir5MA+6o1GK1qGjZjCYW3GecT1Wd1RDEVR+7WZmMv0
c+5aJ/iZd5kuL4YsikpVj8eF9NxdqPjTu9e2Y6GLjw3fkevWHpy3scgnPs6OsYuuXcmhrk2uBIlk
Pt7JvOuIrd4vaulu4DFzF3AoXS70O14tJA6nlErmqGkW/JrBfAPuNrwDYZlQz+TOjzWLBU5yip1d
TEnagxab+67Oi/VYWsRVW8hhha6FFjMF0SyEivuJNeG2BrjwaFg1H1pbl0rT7jXe2ANF07aunAaH
u7yrpK1uE11InSLsn9uJl0vg9e5jV/vzF2vU6L6SlFmX1GWeh4VkC7Y4ZzO2TDkp5rU9EKTu0UtQ
ByCwEJHBfvU46MLscRim10QRluP3ohu1STDAVmnzgKZtgFfljelj+13Huoo7vbZyU/NLFrIGbLSy
sY4y8UXJvaOrvCF5sfAQuuDbrQMw08SyomNvdv6jdHQXeML/8D69NoTHrZ/sUFjgPmLi+BC6SrwS
Q/tMX7T36btRT+uBGW7dXsqfxlKGr3LiMA10RTkb3PBej7oggLwmf+dWNdy7g6JZN4mHR7ek6ryK
x2nD3hQRgF7yVXGtRGca/Y50TbprO7TM6+r0KFvCLSHf/JAksF14+lgZVcuycymaW9GwwEdH0cb+
3w6Kf+2g0BWS/3qv8R/dPxOE/+S70F/1t62GIEaNQ8H+q0/iL1sN+w8HF4QfOja+Be2h+OtWw6dd
CM4rFgqdkbEdj8hLXw8y+V//0yNyg9JLuu8KNiFa8+8sNWzsFv+41GBw9Jirff5BbHWsSf5pqWG7
ljlPsBzGqsuajU3TgnUmsiI+htEN/N8Oo+9gEmIQ6XScUdUvwLRsnQauJup8wtJ7c2dfmOtItuYv
AYf+t1GbMTvQBqvY5JJ5mMp+Y8cJ46vVqANxQuhHsWedqWx1fudW434RY3GfPJTHzRIZAiHJlxtS
3zEXq5yay3hpkxdEiJ4MBptcwsnY3Tkd1K2/1MtNBh0WRW0iol0qFb+2fsiAn4TlIzty7PZoY6dg
7OQdrHoAfGE0/5YLb8SVC7z3sIyzfIR2oul+cvhqndi6RUOQN00Re+vOcXpYXqX4XbtuOewhXDIW
OIbcFUHb/oAv4+6Fbab72HIPkQh5aSKGjNvAYT3JStG9n83QvA0WR14MqRbaf1P2jfOnCN1pOtIi
2t03UiluXwiLOJsz5PTZd7tdDW2SPqDI/uID9CN2DMLpU1jto1hHSnInuDi82TY9d7995XWCsTco
8+OcT1j2g2ESeCwJS90BC1QflKXN/lql4Xif8Ha/nSgQN9ez2Y43CxXooOPD+Xcd+PLVrnr8mCsn
qMQBvoT4PfZgRIlnUjxjt7n4WiDMJls/dMnZZhLeUsYaY9gPqWHfjqrFlZiOk00tlDH8CAnu6h05
y4VVYUCoWtXmcmQJ1O9CCDMAbsPM3JBtGZ49MC43LIvHYwwt/rQ4aXI3azRyy52ygtOnLHvTptU2
6SSJ+aCfz1WpnKcJDtsjhqOmfAwN/I+rsKIHAcaC10y7sYnoPw+sIuYcyDxoLtasJrXOk65192XG
U7syraJlyE/O8CeL+2aZ2w/uZeXT3Oa4SIbyHfDyARG/u5l10TLn8pdn+gWtVKy087TfDDFBh5j6
D3MUBLZ6e9hR+e3szNYuSPqmRPiVK16SoXly02S6dItctjJK5WedBBDH0HhvQhW63yliI2Fg+gwg
pyTOfWRLwgHsbk6pzdrHFaWzBV8/7js3IIvgxdU20g52Jbt6T+QZN8VgNu4xo9FoQ5ngcoMEifDW
V2rYcqtd9inQ7R2udy9a8VBg0B2oqFn5cysfsYhid4CPAL4gTX/6XZMK/jwIkr1p5esJNN649YVl
fQi7bW+TXsPgOsfqCfLY7S7FMUQZ1kyy2iz7xwBa15HFbbQP1JDtoOgRVq+UK7cpXDYjis8eBYso
GQDVptynFTDGIRJwCdr6kwPIQQB62cWm8h4qLnL3aa6AHYRsxEyWMMYwnCc3lAeEIio4w3k6K1I/
O1kR98dXykzbZjCQsZlqJ2bh+hvEJyq3Rttnqk7bnEpI0S4/8JCM7CRncYoKtDEjqsrnURBeXHX4
JF5jJ0n2hAvNlwWvChb2eN6WDW/JuvDlA5gi98nGfEagi8XpLjMNIIQkfJaVY8tLKiSdkey6L4Wf
8auCjPLWOpb3VTijSVpwxANB7KDjj2QBCCht3WRt5Af+ruYvpjSnAD2jTLBxcWAdmsqKD+7Yeu8O
X0r9woxmTyyk8VkjYBNgNvEN9d9nPVBdLl3/1BT451MbweFfn/VoGGn1f/73f8Yo4+v+ctp7fwSu
ICVrAs4I6IrmNP3LaQ/7X1gc6cIJgHSSo/3raS/+IOvhUxfAiR+4COR/y8paf1geUghzgAnfDMfk
v1Xe4glivP8oYTBrOI4tyFBZrm96/yxhSAYA13TMNR8aRUIibOijY93fB8+t7WZwupVPRpQ1Q/5u
+FGwMdnR7/vaGr/slhj7Ol8Q/s6JrcvnzJne+VCjDNvsISBhAEXCo6CMICg7L9JBjA4HRBUfHj03
ZUi40VcNt8Fd91RkIwywEj1TuplVHDeBD/8qsCEd+sy/OKFzkiyVEWGVA77eWhtjSThXlULl3DRB
MdCaiTeIOjykvsJYKtL+LvYNMwpp+LBAPhGUqpAd4o6WMjAM3NbrsqIpFRYQb5EJ8hGLmvvAn010
5qB0L65suG4Jd1wIHI3ue94Hiq/PaFSzWbZtMhhr91GWEfOtaS5YD6M9HlsgSOdK9AXdaPZAYUoO
2u3dFIAWa+ENmxIr5G2cLtV5cRWKtmOEeDMqH8vKW0vP+NhvZtOhSVBCRKjW2Zxmv2eFiXoXNE14
D355weWQ9J9zi+linRJlAEtM4P8hdVttZvKikdU0tGl60Yp3o0n5K/gqcC6l0YxnRSqxOLLYEfd1
YtdfZk0nKuvWqj/ls2mT1vN0JKw23O/YqER49OhZsTfSo/jPtGJeXMMMBQ7SpUwD0jEDsjEYdzi2
sC/Lz7wlO0HlhA/Eo5hcQOtAY36hos1MZYNkwxy3F2n4bU23l1VuPEQH/mZCDS8Z1Qsf0JucO6OO
rHMveWZWoxNFl8lYppHtPlViEGW4gLpG92OCMboVSkywyZY8addNmY/43FPWjDjtwTc1o+nf4ieN
NpAxcXxZ8zT9NqakeBXDMuGZFcQ2rLxr4PCW5qWTBXtwq6/KG8sK8+9KANpWAeXsK93zOrD2d6Jt
FYrlZvRn93D9TknXu0+JcCZoN5G5bJ1Kit1oYAKin5t1FD1FNdXm7ghVmfjpOSLTcEvRuvFWSZsl
TNtGcbwKk4q/JOVKe/7a8PlNo27W0WJb70mIq4yPPZTckJqhR9Fw1QVFUnXYd4gjUHwgRshhQeXv
jGHqw41FbpMdWQaN1p2Cee/5Pb13teOgnHuwepQfuJc4GkbQfHZnAlLqh2LveXVHW3ZkPHOvj35M
oE82zsQNgF973O/0rMR57TmKveIIobUzy8JczUm77Aj5wDWjfOfglv5wGT2FLKXqgmr1ASyQygt2
Egk7SI2LjgF/exlG096xwI65Cqo94iRSCnbNzQhR7QJEtMUQ5mRdtlWYko9hRP0AVWvs7MIc+BTl
FgnjcVg4PFxJMJtrgaR46RVpHxbUxV5hBTmMaF+vNl0OxmrMovk0OFlzEQXVcxh/2k+2INgWoPv7
OEMGz3yN5sLd2RHsZthGw8lP2u6LG4/LZjROozW0Y/O74w0nVlQsdQd7Go0ffu6XZ3uM5A3k9zRc
97UR32RGnb20wWw/TEAU1nGFIrGybGLOBGpAwKYGUXu235DcsJKvTab9YTWMviQXXWD18ERdncpy
4Fpv2x3vPwxv8c9koJYvYhnuAUcK/EOg+py1BuHfvQ6n+VsscMkGZjk+S6SBExtUl1hv49wn3kSt
YJAB30/CPtiyds2+hMpjg9+eNTyLYSToz7yVb3sDRVAUYrgJ3bk5eO3Yf2PpwSqmsoKcetQph50Q
HHAjTt2fpAXZHrfBABohMxH7pDoFbEfp8fRBA0he9LCpg/zSBxGYRhC0e2UE+XdCOAtUJU8OHJT4
xpuN4EaxiU83rj8UN8GQLvsmNocnjF/eqVYeRYCidX/084ghiTqZZl1GLhnfyPDdn1QKLtZ2VCmU
YS/jxb1qISG1lFJgOCl5GwugXtz7yIFGL7R/cIGgYQEY+QbAFZUz4YizpSgFOgoJCkQVorDZpdJK
ywJVDvDUVYAJQuxh7VWWKaWDRBNotabQug1DJexzreWEV1VH6zuZVnosx2PtqNWfEgxSCTUIxfwm
H/z7ydrLq1xUXpWjq4gkHBJVtVaWYq0xsSBId2wOGXG1AoUPoufs0bKU0goVrQzgu7VqlfFK2nBt
Lve0iGfHMDeMna21rtzmnbsORNWvB62FLXzGtuoqkLW81J8XrZpVWj/jOYxutIbrGs3yAs2KxaDW
3fCm+TuuX+HLJBZMW7TYtgykbXtutGrXh7HcKK3kjTPQ0l6re2U2zHe+VvyKq/hnax0w04pg1THS
NlolBAs5HRutHLZTNr01OSjyVTtW9X3bB8mx0Wpj3EX+1qDYlwcCqn6vVUnu3dZbz0LvqLRmuST8
RkX6RgNHeGD1C4E0cOWePeZv0Xkxv4ngG3SGfTdqPdSequGQYvD5bXuG7j1io0h3ovjOtZZKgD0/
tmNLlFxeY+XZkjlHZVmUTTY6dh4yV5wsOMrhOtO59Egn1Atsrntqw/ZpdfKGlzqrf2HUpIAlPA/i
Ib+G3ccmSzZGkZPr/LZKFn2W9JfncDLeZp+svD863cG8BugjJQN2dNdgPZGMCD6W8RGhyyyBeiJi
HvA7YoGrg/nQ6bMdq83wuR8DXi8OpWfFbCXbZOnDF3rCItjIOURnz8vu40gZ22GEfNyYoD1l7dqP
gTd1vylhsbl5RhKP1kJsYwTMRb9OfU9UH3aeiseHsovNlaCwAlFvEavSn25mOht62jb8nJy4gSXb
TMoH6He7OSAY3cTML+HRpZ/HxB8K2Dw95k2xvGPH6jdMd+0upH6EX9ECdrPy3vLFEDtz+C7hpoA0
LNJOUmsTvbd9E+4qT+ZnVbEDSjQqWhiyOzFKh9yU+mlrRgRcClwha/7fMRzAvtKOgX3mFXR4gLcM
TcDgjpzqMzNnDoHgWPRmcCeKJIH9UfEUh/aIOwL0wp7XBeMsrTF3+tZny+lox3LVacx0Cd9uxW4E
7PQg4fcrN3npnHHadSrHYx/KhiYFryEesSDLGNC0ljjGK91He9cGtLmY69H0aqAPXKDRfpIe6ICc
FQhQypYCIA9BvJ+9Xu2XHhhb3ZjNzx6r8m2JK42HvmpeMXHjBw9mHHaAMilc8IOszgGlDLXaJjxB
Ctq24b311G+/qnDY1fkU4PcRVUyNCXYEIuMcrys/ruIMXu8M7aFWPSmoafopkqoxVjjG63zje1QS
Amuo4GDVrJZABESTB66laZ653LZACYwsvzXsCr3Km/ybLrMDOF98BCmWwEW/q6OOA2GM70g4jR/M
1PbrIqN+D9a0342FbpnpjME4ysVKfva9Q2QqNDnxSiz0vlEfJie1nmIezaOnqvinW9M3c1PUZo6b
u5XGGntt8CkQJZhFClKYEZUodwVRyZJip9aw1vBqIQuzhvf2ZmmZFzmaRk9drJv4xyiWVkFGm5Qz
TVrpKXYcfR7zSmVZMuFw3eBqdc40yRlQ86L40UNSe/r3V+b/NWyANnvqf32F/tPVW9b/Y/3OVfG9
+H/tgPrr/3yV9p0/uAyHZoCpz2FBrctO/3KVhgTump7Df/PZNQfW31+lA8c3yR6y2SWDaFt81Z8X
584fQKJMDIEicCkYpav131mc4x7856u0yVKfb4+5EPyO8PhOf+8GzFwhc+XkNL4NNnThnh1YB2XI
1ql/Q5zcHNYvPo0vr6EurGho82prQLuMiFB8Np07v/tWtlkMEgczG13KB4Dg5EASiO2gcM1vCyC5
rsK6RkUPeiqwUcFiUcdV3HOoh0h8toecde+6xI7WUbRDnmLls5dd1ZSqbKImeJEz4AwnMC4h5l3w
KAJnl1jwLJj46v1gonYnoGF0nEEadpJ2qxBI0Grqh3bTqcy5ZHX5kEQmrpR2PpdmWR/QBM6By4BC
T6C/wepE+QgMyM0MJgGXRMs1nL5oxgwJxS+X311Z3S+i/AIKKA+2oGQmcei2xAh3sPllHUybEHjd
kApXdAey0T4RkwIXYbeXae6oUna1PPx/2TuP5GieI8tfhTbrTlpqsehFpyoJVKGgsSmDTK113maW
c46+2PwCZA9FN2eM62nC+P8gSmWkh4eL5+9d4wHSjeG7ge2RGsPSooYEnGqq0F8nLEX7ClLNoXWC
qRqegfKTPS/SBjb27obBCsVLhyLe9FOd+HU8M5XQIG1iNFkdGJJS3ywy0ypTq0RhDLsghEbMaowa
KuSjwjBbVXWA6qzFU6X6kmTrS5WTj1zHcaM7+qGpqkPCOIo7TuZOgZnEXVK/HdYTbKJIz9iQeJB2
tgMtYFPpAGW3neQyBE9f0VK9aq7O13aqfLtxkIRaIC8U7JJGVF4085oc40rpN43SQrAA35eXVvW9
na2Vl6b6TWH2Q2hWJEsSonFMU8vxRp41CAwnsNJQlJCyTjadxET2JlmnSNH/tI5z3RYoQLhDAzCq
BnQbVDm5o5a1r/DtndHxqQ89ARuCbNHLlBfthm4MANdkIFThhQmPwciMSyTdRD0cNzBq0jihimzD
koiYSIHGInmUx+giklVy/IZe4xzYkhREMWCK1DDvsrbcA1GCjFrWG7RXoaqge3aqi/nGkq5QuOvF
Blna6uYqJzt0m2R3lbH9PgZISiy+KceF+rR5iOZ52kxG78NcCbt0y4JrecrcQwrjeGFkjTdX68Uy
khpy2UrQBWvKSTbMDliQuYFGIXXhqPXpJTDkCAAmaCcIihFkxUhIyIHUI4vEQCkvgwQusl57QMYW
Skgky7Taoc5Xh227qDeFVb8wmfAla+1zuWSAcwzlLda7l2UZ0NNoL/qIrLdOjQTGU3Ruu5nNLMFG
rVP6Slc44/MivynG6SKP0nvr5IdigOgisXgg7F5wqo1BZ1xf1Si/oRSX+4lCAaIY5ZPaxN9U/Dj9
I59qTeZ3RgIZiLbJ09KnxbPpyhIuFAZfzGTPPMhBc5gGa5wwVi1gDDTzcvSCSkfzjYEEX2smkIMN
NL/r8lbn/Udd1c9VRBGdSnoOiTMaJJpY4an71haHfbH2VBTo+VAwe7VL6aHTKbNfy/ygwE8W6Ep6
0WoQW/KMCBAAWyicDR48SbKrtsub0ka+w1jRFt5yhYoKmeeoEg9axnjsO81APGT6zHuD7kSxUSnH
MPX4xZRf0MpS7Ta1czO0+W1tdF+zpJIbOPZlGpNjmkC6YDPfaCIVfc2B1lrJ3pDG28WpTolV7bN+
PhBG3qMXCCsrCBQvl6KY+DtFegG0MEIP+aau2501NAzz5epTNNJ3NOKWkVL4wGan95N4uU+n9Im9
TP1yXi5GpN6UhrajckkBxirGu5FyR5KY6PMBNNlL7cRgudLBvyzv9brVwrUBSaZGh3VxTgxgDuT3
jQkJlPHdzPFeZrLRLWYV8OB8cvJh8ob0+tOb9HKYK3SvdENV4AWeGkp0AYEgjUjzWAUjnQWos3qh
NVVL9XBTrtR15SbfgaYdwBvrzSZVoAGfjOqtknR8vtRAmdslX1mChmLipKY3p/XdQAVmI5vXKyy2
EHTXZA8M4dRCaDA+dEoE4V/D3Lc2GLdjBvdqlqu30AqfrWWV/HmKnudptH3TvN6TSj33QB5dpLan
4BobsNdaHThxzbxMipMfG+3JsPrHPhteayl+sUwlDyDOUlRXVbJ9ATw91OnOYiFWu9F765DU8Jjm
YnIVifEtLcHqnK0Oubw81nc6QUWA9M79IJntLZC33oMzZnk2szbalO00HCPW2Z+Z7T0CU72Ckr/S
qIMwmgRzNzQjsraGVm6WSSshIO1PkbZEjwj1ndCIqOknTxvENQ6M/a5fQLMhKbFjWpPtHVSq7zCn
uXDAfUU2CdbKMF0/NtpjA3XbF64k/CWNXySQnPKZBt7sXW36R1A/076NcoqCkDSlx2zI79FFeIWW
HILDzDqovbFl8M/264RCkryoCrSPTGcZyfa/Y9V/0O6hN/OPY9Wb7/79v4hPec5/xKfKH0FNIEVj
a5SJ9F/0xl/iU/j4UIDWdcYgHM36CzeGzriKodDPkem9q6oC9el/xKfKH006QDRmRH9GtRwmWf6J
aRVDYE7+ttWjgGZS6R45TB5o9t/L0cw9bXgrckpfxqonD/o2fY9qEr5gTEVb1O4ovnkWhE/PcCnS
nuk0jM3Bfn/iyjaPMLfV4xF+gBoQ3VUA6kDCRedZgOwQtEu/YgG8o1a5XOIZ8KXLDGLyUAiIXikG
8CDwFMi9jH18NKFj5YQB2FdpBhi/WsD9NAH8S2Zd3g6/aEBDnEuFgAjWZV58A4TQt9CMyAz4xdWr
xIjcqRYwQzuVVh/I8wggXO6IJIAjMkSX3zIxofqJHLUn1co54moAjDbN0W36J1QjatJQjQqwY1It
7RF5Uf0FeS+O/L6OgS3QcAiSAvGPNmVwzGCKeIcAZb1RgI6+g5qPgnSZqmdQLLpvIIL1OP/iMLmt
LqH87CJHod8MZWFeNBtI3jjYDvH9qvoio37vEWgLNWPMHi2guTtzQW+yFQDQbEEGLLAFLDRvAYim
yFRt+1/U6GCoXtxS5SmtD4Sri3DsGtTuu9gJkr66JH1r7nsp1e/tXgV+2gskqmUsBmQaoFMTxqba
QGopO+iJCpWnHOPPmjq/OFU1+/UvxBU8vfGeyCPheKnCpdAmc8IgNPSppjNkT5TAa2+4Kvo2GRYY
V+XrYSpVGDRBkHzZxAxgrktkRkwBt5Ub0AY1tUDOenC41xZE7uAs6i0S5OVTBv+KJwnkrl1n+iEu
QPPC9Jn4kkD4Gr9g38aqqpBaD/Hkoi3AgYG62j8wbdKnn1ND9GayVELsg1llmFM2jgaAmXrhp1U4
8huCffjb4QqvapfmfrQmLSRbjsZKrPp9PU3Jrlca5q3yikpibWa5n1fxfF6rceTPAt2MVJ390y0C
84ycKLGUAELPv5joUcCjnV+g9NjUP0YPeLoRMGqI2axgsZd4qzeZtov6sX0CO2WeDeChYLAFHBtY
FVwFAqLN0CYnYd7PILcjAeKmaoVo8vonbLdMWXf8RXwrAvxtzFZ0ay11eQAVXmwdARJHWVCHP0RA
x6/X8vpTz/RO4ToGWt78osxz6apucwE9t/+EQk9sat0Cmm5pauXVv3h1RsFpxMI5AY5d7rT2Bg6y
8h6EbU+ddc1nFgnwuzLDclUJQDyMT8T9kLRqW9iQo69VATqvCRC9Usb9bQFWBci9raDmIpMh/uLu
LQHBZ5v3X/ovLr8VnGvECShAOD56PovRnaJBbpn3MUpw2QYcznQb4SpvO+tllA0jTCnMtQHoWxxI
Rg0X9ZZVHtDUg2pDh0HkdU669Ic8C/RGkg5PHWXlIUgqXEhYGYX5UDe1DioUTy2TSY+I10TM3lMZ
NWzZpRcPaMaIU+ayV0C9/qo418qFB0O6VFDtXTdmUl9DSYNF75ZR7CTQnWHoNmaRjI8x1WDB6KDd
yzT3tFCCCXtmxi+Z39AgMOF+Z+I4KBnTPl7X9gi/aL4y55YoWyVOTUbZlUFl3ice7Bs5LbuwKTT5
oM0SysuTFtc+2h+z4heFXv8wVaIfaDmlR9OwtBCpSvO1bNl4jIahAeTWatSem1EuziNkYW4hZxGz
aSvctFPsSG+AeYiBpxmSnrr7VAvI2JJG2TkVurk20CjiOBq9hODZAUd4O6cMPPTm9BKnGujlDALP
zD6Pa8LsFsEsCrPrgWGbKiyVHmh+WsPinFqaB/3D+KZ2Nn1fa6UMswPTDHVpm3UICSQRJLka1Njf
tdxv1Ki2FEZJZuYATynCqSh7zA34c8nqBO9ZJL1NvX7oNTsskQiqN8Il07ljgM/xLA0+p2BZoJDJ
IqYs231vlM7oNX1SfTSAIijtoTEcuTWkfD6cJkmI6FB56OoZJzUMDroQ+jo+LnUSfbTX1HksS1G9
aOZEsXFdK5M3siVRU8UCdbiD8/JhYmTBcc2px+EhC9kyPwJ96dUY3zOa1XIgKzzNb8HkNy69rPa8
xAli0a1ibLReA9Y11dfBg8rzu0YT41IueYFrvwrd3xXRQ4j1GduDu8dKzbdBQptzGJeOCchOu4n7
nk9FOeEJLLy8h9rBPg/ImyO0mU3mnTFxpPegji8mPNnB3EbtIcrUInDA0O2WNiqfoqag5qAyp++n
pcGI4Firh0S1tJ1eFQkq2WlXhQP9/y2wBXTgprJumEUZzX0h9fIG3Jy9VQW4rRIFpDnus5PTgUMz
Ra2pIQ3MjAjq4ZqZc0uw7VW0rnL0I2GdYSSCSUEUzvSZgZ+mj87XpN6bi+LTtNtrWpVuAFCnQSGV
xyapm20H7LGFG1iv/cbuQHibvVV5ZY7ihBjk0IOpXrRT2xd5A/+A6tC5gxlvMzWlfIdYHmWxhNLb
BsGuZnYz2yjoxK/FSPIqNMwsGTFwDwLxnNFWkidX7xr9JXbWaltOA1UU5mI6akrwzcDIpFX5uVdU
sSLKqDWeRml6tw6TEzFdeLUpz8E5W2/raqC4RoWs3IxL1jAXhF7vTzPAGER7Ixnu+nGhQG0UBuk+
vEs2A8BoShyveVfd0pYms+OoivuAs3cK6aDIcqC00visyJkNy+g1Z0KqLJyeQdvCxK7h5Mkhck0b
WItas/qsC62QvWFB3D7IM4s4Ly6mF6fSh0d5QVG1HYZ2O4wSsy7odnZEgENMJwUWr9gtEfelmdmk
j3KCc6fanykF5Nai3A5VBFQOBgQXuaA2XEeXWDh7xv2MiJbXMCAzRVtYsJfGtll4ZiVDEAuZ2E4Z
mygoMzTxqBDCVuU3EvNontJ1w7E3c+dltRjTJG/q78q+ni4VA4ZMKVplBI601plxKlHw7kxZulBl
sKn51wSWrmGaPZi90d4o1Cqv7j+f+vz/Iwyh/V/lON1qef/89//5nzMg8bS/ZECA2TQZKV2HBIM6
/F9X6BnYJ4+BioFaGtP3/wfsZv2RcjnnKqcJ4yG6+VcZkM6UP6euwxC/JqsOwJR/KgMSbYC/zYBk
k/6ACZLaoOSvWH9fodcKaUG2fPBjRR1fWql3jhJ0r0+dFVEDXppl3ctX0O4Z3OGrl8TmpW/gDXfR
pp/vFnW5fqdTQc2yXxh+Agd6AnPwbHXhwpYZ6PtlAtPKoLQL6hm9PLulTax2ZQSuk/P9R5MpylCQ
XGlQLhnSUe3iI94Igwfd8U1TXicE3dQ2co5VauvMfmjbxpwYo+8yi6jJoZAbG9bNpPQODFzd2n1D
PxohimUaL/FKc9/vAaQadK1Gk+i46GqICezyI6mmeG9YFjUNxIyCgVi8C8heUohtJVmNgwQOp8K/
VstyC58M82GgSCKo+uLCPMZ0pxM7n4HtDPYRDD3V+aaK4hDelxjOpxXM2naW9fmJFsT1Nku+q8V4
TA1ks2W5CKCfpSNazPZ77SAr0NjovFew6V9U5mkeKj3v3DGpUMbrr03so91ma0Jy19zmglMSkara
p75MMglVPdlSXc1w7ho6ItC5MV7s2GhuEtqBx4V2ws6ujOa9Y6IvcOp2/J7yJn/I4YI/8ALSGbhQ
cwR3+RQtkDT4oy2XB8PMId1Or9rsaQ1qbrGAmhdTPe4MAT+vxnp8lOta9ufYBJ2+CqB6lSq7WHPA
rudtc01JGyww7YWAt5tg3t+t0qH+SbUT+LtTDJDrC1C8hoIdVOO1wMoP+qp/jQJAv8LxAGe4XRs/
lj7q20ED4AvbIiOnz5OqD8dlzJHMjAZp+mmYPnqPtZIkGWHCmnAudY7AelAwweCV56tDQ4AZheh2
WKtqk5mtuisTqXybzRm0G3GNX8ZX3U9rZICq2VLOVwju2q0pCXKoZmgYrWRkY3THuHFQHxmQ73Ob
dmK8otXkzx52yXMvE7B5NRQz7wlkxrd2n/WLR1o3bGKzM79naI87DzieYbmNOhp04rUuyIA6ozEl
t6NbpHl+qfAG92M/modGSY1f6DlHKoVWugmM5UHxYJfLEYBFTUhDM5mCpQOtNE2aE2p/JThLuXo0
16FB5gOabPB/0EJIU8HIdUeo/LpSB+Egm/ktuAUyudhcTwlaI7SpO+yd2A6eiprqLvi7qT7COc34
hgHdumvpLIM+meCHtF6GOQsgN3qp1+xhYQonKOb4I6p7afR6A+YKo4bpunVgj0Efbr5f1jm+zdMB
YvciW++brCPAt2yVkdPFyPpPJglj31LobvT0psGhR+upM2gpRU29J5tsbmoJDonCslfVjSTASMQu
5bKRE9gDJdo/wQK0U6N90prNei/D1bmz1Pg8y7Joi1FWkddodW2G2j3THO40eXioUzkTyD1DCtoW
yH9Q0PXImPkfCsZd1UL5zgaao3CRjbFFFtST6Faw8tGZof8Hgyn5X1Q0+QvIRdtx+/g5sQfw93q3
3Cwp0Wgbt8DP6drFwQr87dDriA1ay5SgeWcu5acTjdFTOtqg90B8pp/XuF7XXZeX8IVc42eYVRDr
0Pr0wTCZVWafa2TAi9TuNLudrpsqXQT1dj282X2VbSyARh/OdaRr2klKHiq2JZ/JJwyYlaZqvM8z
CWhOq5pHxCOMF3Vcxi40SBOBQOUzxAyRICFLx5oentIMxYMsrYwrmlWv0wNVoDdaGdXTN0Y6MJgO
A/g+NyprH0WmXLjg9uu9BtiOTyklL7kht1tFr+PMz+ZE+oAC2wLogXRKUDU5tXc7RTRlgE2T+8hU
0dGQB6SVr8VVqMgMteL3w4iT0ytb3UrWOt3ag3nd6zAnCB2VWDbdql2WmVgYus5h7uZ7Y1lgJkyn
krkTksGGmK8aMdU2sl5gAiVeNdF8pIqnzt2DMS35Y5kif+RJUOctpBcOsR5lewhdu1Jmu9jImgxm
V5jo+9rwashUJDZ0YedAzlPd6xXdgOUjLR14uuGwH2gLgxTsIHgz6u8mY020YZwCfXIeMxW2fMfO
EJarJVt9KVsgKZqcokfTKd9GhJ+opAJKLk1HwSdrIvJ+sw9teQ5tO4VAoC2LkupgdHPF8EIOnwWJ
tG4zW+3oF0NjfWCGaJCiEDODXzX1bTNd6awp7fqBkkr9OMooMbu1lRRHnZuyYY5TPcppvz7Vudzd
WiXJK+G9lfqc06M3GGX01i5256dgMxkUBweLkEmZ3dtX5JavVgFoaEKEeYrXPlDVFgLdAa2y5dqv
u2lcLc+xaYP4YPEmprG0FUQPM2XspF5SEdiBO78YsmMbm45NmHzNn6E8NLcJFLaXlUjkGcIqAXQv
pfGcml0cpGpMvSkuUclR81a79JT3n7tMagC/xrK1RyRi+ioW0zhJJOTw3WWTs9dRJL6b5wLW2Ks0
AmLq0+Ie6UuKdPWQoqWXcYcnNMPvC2Z9jhPzoDdIu6Eh1Q2ON6Fdcq7baDnMGCnDdNFq7XGx602W
zkMVmCbUoP0imbdGJzFRW9oI88ZlpgWMHplvUm32b1UzjfdUECCtcQan/kipTYb00woI0pT2oRZ8
8uM8tJti1MfNVNrX0MGT7OA7pfA3SLnXObmCIo0RXWNfsxirpWp05c2QxD7b2az+NLIzWm7cDhT+
9H5vZ8gnkazBdmldT7o9Zk/p0I5PnUI3G5Mb4aSg/6+uXm/F1x9pIVka4TcP2mxp71vTKD8zRuoD
kOHon+bmbHlji1E1lUYxLVdKm+R7MO7lptPQVUqSKwzFpLnUMRmjTQznW2Ow+F1jNOJjbeBNrzJk
yJH5JsJBQcIsXGm86ndXKIrgvOnlKvjvvOQfT+EYRPH/uC3zb+1nTLv+3/9X/h5Vf/j6/sP9e/mH
fyu/WlTs/uUP57Yak6/v8jN5/8Mi/gTjuQfteZ6U/0UzR7zTn1MZW/kjcCGGdrS/IIr+3MzhTxYI
cUOkEgJq9JdejqIJ/nNDRhvNEE8W4KU/Y40U9Y86XFRAnB34yXVLtv6ZTEbQtv9NIsObC8wSeRTz
YTJie38LNeomhjaGSo7DJ6b93cZ9uFzOG5AD7n3p/an/9ycK+HOVL4gP/AGg47lKyr771/8BVOr/
8WZihOjz/QIeXzz8X+LrwuxqLN4M5p3j7Kue4tI2cWd3dB9C2sbey+KNv79e3cv5AbSRx4njfT6f
v5nH4OtDDnK/82afs86jzsJPuEm+i70kkDx6pZ52YFArSH2GZDzEeLzGi0PaK34Zql65K3fiubMv
ex/INvvUmDZJEIex3x6SzewBdnIJGlxErPnv1e183viT9oebecyNeLq7gQgoNMM8iINyA7wpRIR9
s2xrnoBIgwfvgd96UDF7qOOFaNv69YbB2qDZQnDrZu4PukJe5qf76+1Pu8FVB/Q2/HfEfNzSS/zY
PSLA6T4Sw3qOfz+5B8N9mf3OfYjcj4eVdRrdEDfsff183X2B2udT/ni3r6978eY/94/b0vvK/lS9
+Ic3zvn7bPfvjYTO4l/ftwEUAzzb3Dek7fxhP3k96/e2BIpLc8A9M58j1qh0Lys3c5O7m8tb436M
7pkP/fJ1DVKPExvjYjjKY07XPX00bufuLueEBT1ylPICnPXue+1+02jfEvV6q5e67xCJ8g2Rpj9x
zYgnegQZvMSBRfcm7x1JMVY4DrIwDmzvr3b/f2GuoMsoJfznzWHrtDkpKIAXFPb8V/bat5IzKNUQ
h/CDHKX78tj6zn28UzeUAtEhHkN10wTGfbpT92sIG8mdgRoQEi8u7tssfMIeNFz67JhfXUSMY9oK
3H0jSPudDA3IQ1H6+VcC3foebas9EKD9daPvl8Dc1zvHpSbp3iDJzj9TkO/aoxK2u36ne4o/H6mA
trsGNmSM+u0NZfYjHXsv2pIQBDLf9ccpaHcUs15agsdNuxPB/N55MRsv2TJi+9rv1mP6CkksPzGD
5lEtPFaX+EsLk+3qA0xanpJt+aV61Av96BBto8N1I322O32f3ep7aF93kHrulBcIhYcnapTSS3k2
QiNkctRXtt1GfyQdU46KP+6sMNqK/4NK8aGgPca1Ox6zi/Eyd1v9x3E2YxGaPx0w7XB64vBkghay
nh/Kvu2ugMHnq3/gm1tKe8f2Ae3hXbRtj9Ft7xtuvkM0bF8xFhuOPijuYPVnX/E/xD+SC1G8l/vT
47ChjrgpfQaQY9c4TreEFdv+HB1maOvPcJim55oXUn/4NC/Wi/M5PXXvEMAVtzf24jbvxS19x/zh
eldyp8VCK6F0irZqoHuaX/qmV4ftyQrXnXbsz9OtEzILgrEPmweWG6/VuOHDafcgnJ3zUfpZUIZl
mLF9rEMRlL4eRNwFlngL0D24bvpdc8tgH79rH4ywflC99Fzdxl/lOX2tvzS01y/zDmZeV2MtEJy/
EORTLACu864HOi+o8ZGm2+Vm3aHIftuf4pdie32yn+jtQT+YHfpzsR3usgOt0cP8UPPieELeftwt
T82lc60QcF9zac/rQ03Eg+rNkZT0TcErvfZfoOh3M5cav3JzIL5j3oIMCO9YuepT+9Vd8lfjmOLs
4B57hQpff9Qfh4samF53W13mI1j0yJXfefi8G3fFdro1n7Rjfc7PJCTrsbn9034Y3he+iLYxccd9
m/3iyTqBbtpMXu2n3rAfwzEsscfm1vRUbv1147yMx+smPoMpP2Xv8n4OgScGwudAFexZD1/6zcxT
oJO5ZFvSkT1Ig7PqCePC/v3+eL3TN+omx7jaY8JvlmAKlHDBqoRBOewTyCA84cYUv7tdj/lXc5ue
pU+TDwX77AYYUjjxnPmKmbG6vIm9rx/6Xfxa3Wqhvk8uSNyoPzWnkM0HVRuPyvd6HI/RNsGehCVZ
bCJkRoJiq/lyMPuj3wWjT5rFOUerhSNxPjCj5VtB7OeYdfeGWtK22nx/fxJhu5+I54SmFx3KL7Ft
JZakcA9fufdVuHhlNrTwoYE4699ww7MP3VNY71g2TlDor3bJnomdA0diOHMGb4QLNt3nTXB+xsvz
6hWPy/ZiS5XYPgINrskumDbwx2ynDZzxW/HJLa5DYSeyXR+Ej6m4q/gc9v/Hw/kbqUk34+yuQyfU
WU/LfancNzVgw/oz4YA4tzuXITpcGnOGrP7qf1AFcD9iDzPis4t78YHZsc24FSwO13JquM8qHlM8
SEQVDQFAFhi4HoXAgBT/OQ950uq/ffC/U+eeEpcgIzx97JKg2ySuWAZ0Fn7w3w6qdJo3qoj/uQmN
J8unFCfxOsDj7gRDpIKcE1U45l1c574izf6x74p3Gx/B2x2zgxpEB7YY25Fr8YR3aO7WnR507Cvn
0L0hosoKGAf5G+6iu+GG5vcTudW+PxHfcAnOgUfxL6LavrHt4FLYVnfGtrkTLyMW2cS35T4eLfGK
AOYtHxXyAOZldouCAygCawvlIOscAZ52b0i8sR+Ju2WEYv1gKGbdDb4TCxZjFetux8A2RlXjxSVW
EolJjAMcLZcASi8U3rTZC1/KZbg9HhbfJgwH461ur/tx54Ti/8uNFRY4R7HU6MwGvw7Rc8LhtnxV
MAERfsE/gikKg6RjzEcQvxERAtpyvDvGaYQ3qvfy9tF5pzcRGj5B8cozo+2H8Acv2DIO9QGrOK3u
6gprFVFee4o/ecMD4sHcfBEBlmESqEEW8ELgQG9Gnh1a2/H0cTrh4Hx69GJfcI82xrbai5OB9Q4/
GlZALNOb5J4eHnL/Ihw5xnIKP7AzwhtJmJyIYzhn+IqxQ40VwapERKpwDOLN+Eq4N433wQcVNv3x
xpkOnyNrK/4Vr3DilcR7SW7I4TBtKGm5uX9iH7q76uZyuvGfcq/0wNJuxH/vt+hVeFcPtk2OZgwh
gFTnzoaYzbXP/db0u5Axr0D1H9837CRCW6aCvNmz3T2YKD/yJf/ufn+kgOqBlQ9091P3c/eZOLfA
7ugDesQmruV9Mp4aiEgMmQt3DPqAghYvoxMLj0Rslnfd6j5ktsHVX3Ebtu8Eja9sqGe60V45aFvh
HITpI4Z8U93J3w81RoEN4cqCJhCh3NuJ9UVpxGNxUn90n3X3G52RG87sW7E5hMPDmHHAgEwIj2hE
8jyGf4khCVlwY4THBot5OMDrF1g7w+9Di5/xJ0+Hw1PqHXIv94Bk+JZ73QjPbG6oOBGHf20n4vGR
qE3m58HlQPHsG3G4MEG7r7apZ7DKEfhXiyUDdBv0IUqQvzH84N5Z/NoOKDUEE0+FrEi41yf+EG9a
n3fc2Fwisp5EdXxUNovYeSKm63iNCcMX+6/h8oTp5CEkYP4ZbLIXnM+n0wvSKnwIJiO43YmP2Lb/
Y/m1L6Jue4OUofv0dXf/uAaVT22GrIHrHNgabCPsTuxmLFWYPgzw7C5zY52euJog97Iw/c1bjFfx
emOoueURZDvrYewyllTYrbDczg1xWXiYU+W+wNPLKSo8KDoDv3tahFkghoRPgU6Q+EV4nfqUcMvE
JxCZ18ON5SKswL0Q1yrOTfG3yC1uIs4tkXA5wfNMksTUyE7Y1vM3nzi85O7Z8s601N3n824XsX+q
x+L76jtYZemeMQ+xVp+l+8l6NT461YjviQF2F+4U8EbNXX/PofqbVLLrTgf/a+L2Zhx0+c5k6cRt
YKfpQRjuwsrbiQzT8cRekLzLA2eB+8GpAMey6/AbcdgxHenthHmS0HyPW0Ai3rqfg9vU3b+KT98c
zdPzFJqud3sLVYBLl+/pvXl9TLcil2S0+PerdI+7y+xagRVEm8v5cuHiuO+7b44d7lvNJxIOU3Lr
nYhjIWLD34TKFpfui0/HbAqLwmRN0G+Zx91cihvkLcX+5lW+R3cnnKi+Fxcn/DvZMTHmh8JD3AvJ
WRt82hyt4+GyuZBsPzwQoOIWTXF9vsQ+f36u3WNw3JzPm09EzNjl3ILjs8mzeYXd6fTBaQxZw7cw
i4b7Kjahw3tWLKZHTgp/gPcwu6fTeMTne+Q43HqZHNsI2y/xTsIa39juv0kNDvQkrA1fyof8eBM7
+IckD1vHP+U4h5SNPjz/7G9fYe9hWX9LEg62TqjwcvN04NwLRd5HHo53vCs96/wV+WQUaC56TyLb
1tyfryftrLn8URiB5d/B/hF8kSBr7svdsuXx/CjeSAotv3gGaO7+kEQjy+RTn3OfRVKqkpSPm/fj
eXOpOB25hyK0ELfk83wmMPAHfw2Ol9TfbdjE5yNihzhNib+T2V7d1+MuDy/f59fX4PxAQ+v32Thb
YaRUNo7AWPnuW/c/JVb9+/N4xIiOwY43m/lRd9f96okP4+333iNDRlyshGvC1xwG9+twOGju15ct
rvjw9NVtq8Dxh4NwWvFj5JebnEc2B/US813FM56+oFPfkDl5+Q0CvT6MJ/yF48QHF8n9evGfHG7B
NXC+pq04LKYtteAdrEgHKq2b1AODyzl0X2/SgG5FiOgBDxrcyP862J7NWj5xg5BKJhMVSZAImIeg
px1zHIIX3/di9+7lxgjf/JfU82/C6/KuhUMQPa2n6H0lekYta/d158vy/sALhc3+9LA7uztSKOvQ
1i/hC4dFHop4B6oBUech3k2IccTp9SDOU/2HrX2N5wum9vImnM8bJnYSJQnOX8IuwjONN3Lwa40I
PP3mXQkxzErk3CeYMzyNdEF4W9HECRWKUvaGcTa3cF8YxiJyV/d4e36S8boLCcbi4fufnkQhwOBF
XsRuEL99+f1uDq1PUR0gVYVLK1z2TN9ukC+KH5Yf5/f15B/h1/tjfxRhEHoev9Y7BCsZs/Dn4uTA
fklIY4+dS9rFmpbHZd/6KgdOG+Lkfn6eDmJn5A9vN+FuxY9/fBgU1X7j/SfhqcWe7bndW04S/+ng
v9ywJvhpHp6G4Rqq+3InUqW3zH3hYIYW7PemkVi3PLvgi+ucvCbgYie32Tbc8CfMj0vnOlmRJzBD
vhG7mNjT3dfd3QH0GGcAJsFaIRLPWS28xpuoAf15LVlV8WXwM7Q7v9FYuhspuBjuAWvBvG+m4Ibr
wjLZ9S/iUNxu4/9N3pksKa+12fleak5ZPTAoD9QjekhIyAlBduolhDqkq/ez85TD5XJUODz2//0n
z3cySZC29n7b9a5F0Wtpr9k+6/Xadtc2L+USeN2az7xw9Rf/TKmKGxZ/Wmvfmr/HQFT1MCP++bLm
wV+W+2P5Cf9gx4epXKmIK+2L79v8IuNZfBIRwJ/f7E37d4/x+Oc4ffupSXTB1f6m5v74e0Sgml9p
re/9L0LgZuRwZvjNY3bi0NjfNde05AZaIgIR9sKW4Yv6jVCSYUmFqTvzP114arEuS8pbj5O/5BLg
bRZ39cGAJeH9p9jEH6wH72fwdIiGiM8nbJCIAJMizIUnsvcTh4PLfI/5csW6diSuwqUYJByu+zkx
ORP/uGViT85DZidu5sZBuuc4HQ+H93dvF0KD7xNF1MS7b/FH5iZE2bEZHV2XkyOqedvtm3fAWN2x
Vqax4/uKZbsL0zSbM55kN9u9vbkfrotyhf1Gqu2+4Xc8B/gFr09xrET5WzQtXoSTzvAeHRwTo3c4
/Hj4nNaVPcMmTRTxrLILTwyQRTVTkiZogPhncphdYVNbThxjZ/DT+Of5CfjBQMbhHeUXzUyOf5E3
R1/kzwaHV9zq4edAdVW2AOo6UwLVhyPnJv8v3mkGJo1pSleoaUDuxd7EuhFOfRqWay4cM3iam4d5
7fD8L9ieC0vHchCIhn4WuxFVCKhUhVSUaVw1fMipIYODSg7I90c0d2vDKsh9Siih7RxY21pftiS5
MzP56jfaub8PzozgtrHpkjkIMc9XhDT2xd2+cBBSsaL/NzmM74nLid4q1kCcIFKm2CG9dRMeXnUC
bFeeeETvTKcqms04U+6la1g8CM5LLzQPnue9E0VBa/f+XHZ+7r184D6Anf08IGpSqTxpvDOrJNKc
0NxFdsiGSGyZfJEs/s/jieuJA0a8qK1XXuW9LTyeXU12QRKhLFLWbGL9/D3A3r5eqxUUux5KlQud
f/P1o73ki9G6XrWj7kwt6QrdpTk7FufinG1KfpKXFBoQjvM+2aIi+cQQ2dstLQn8rAt+yZ65lXu/
S8A6rNkREkGLLbAIvdpt3WjTQC+9nZmrUdTeMXe25Far1gYewWWiYeQYBBLXlWxdSWScm6m4ituc
61VzDnfxDrFKc5r6SmuNuV0uJp6ITXnqeHHPCR6mw3b32AYbh3jINJ0rWCxeUWyqVfx2TbiBl0M8
WJgQS2/qFX1v98aLg9C693bnjFbvDm5rE2YhXLdoFyoxZOcU5vVhhtYpMNx2NfHQa+VdFbdcJBsk
GTe6V6/+9iySbNZgtwvJvn2Vi3YluWANuLzRifyEn/HZjdPaN+4akTU+QsSdvc0yvKzBne9RRfpt
zijWmptRXDWv4X1XJvEHRUH6HGKNZmR476PlvIubHq2WBeycVbmoFopbbPhId7Lv7d4Ghsp7d44e
JJt8IRZODVhGonjildiq3doGzOI8nZSH2rKYHYtRccdTb7Kf86c5d+eWOuaiXkG1zbsj1+HQA7H7
VeRPvBfv/GJpROTc27LV24pbL4xLu1KD27ZifQ3K7DCmwri8yN8qVjPe/fM85x7QbVvcoliGKzuC
FVGtp2ipHCVzc78DljMlm6KzI976Zt41d7DZETrCA+40EJ+54vZpyTxN0QTibDuMQ9LhefIHfLmf
kUhX9HYyRyIyZEBlmbvhRXqbdCvtZua7dIeaAI8CjRW3/Ftgx7Jse78k+jEtIu3VhuThFFi4jsgM
HO/9kIlnqTpw3JuJ87AC6Kjsp3U8fe9xnnvfPwVHf+B7gEBW7BbYTd1fyUyCERpZLxKdJ/ZAdJh4
99ORMJq35Y2DK9vvLpmBuH+aSqcj7+TjsCLT3/N20OtZUXA8WpZjUtx7TxfvGwv/xS8Sc7MPNqBl
zWNwQjMFk8m5CYJfPpv4mN/wsNad+eWxoTeBeM8TruBvycX22ATCj9rcsu0HVnDfbO6Fycmhz2cu
PHpE1KGtnbmyghP36e+XeM7jybHEm9xliwFH85/lOR3x95bFKi2IoomM7yxObB8Z03d5pvhkAuIH
BpEOWsTznQdcw8vyTAerzTdEzeOYBDh/1khzFfP4+8tnxbbPIh25LhFbs7wWHTRFXLbti/hrv4/t
PYnCr386seAn9oJNe4obA2dNZ69xrisHq0oWKrpXwsaISunP7rAw+TYJKhtvdbqTE7I+YlPR3vrb
bmJfCi84Y2tfe5sdieiNdec1soU1EC/cbAj2N5sri2YFliNuxiErcDYOx0XkJDzY1XWzwnTgTcVy
M7ZkOqww53fFa/9SJvEV1+qOvC3ZJ2S57Me/v4rjjemwxEka3Cv3Ndj3EROpkM5jPDFMdE1HZ862
uVerwVUDrA0CbSgvfw8rw525mf/AsgVcFb99nXiaK26O6xfdvK+v3Tv/E+lqi5mosIxzTuXLUelX
CoskCkmGyT1ghWfm3OP4YXw9YSBqLLawMbAjmCfVkR3VinxhBnisf7b9Kg54b+PAncFGIQkjOvWS
A1b3gJU6qFS+VKdfyM4JGXhrEvQroOkW6oSYZFEWe50BwHA90wB1prPkTriPPGTmXUWWDzaDr+zF
rMJq6HfFh+KPP4D1l0zR+8HdgsHRn/lPi5PnsHsozSyLdb2lBZk4hWPQFmbe7St3GTMhnyIkDzYB
B3+9XNOic20uBoSoaf0u7Y/Lerk8itMojoi/pG070PJtOMuwHOyPHEoOqf9Ledn05d03oepvZp2h
QiCd+yYWPS+/v3+Poc1biLPOMaIcwZuf2GanaKlb7Bz+iwdI8hgEwel+53tiH3LAyGwzc/V+3Vxx
xtfre0sOy9pSX0EukKyfJ8rpt5y//fXvGwJzzI928DXZ9GxVjyadZeEDVYel2fABx4Hzc+KjOJ+n
AMMjtqoh9h0V9b/jISzu9c7EoJ/avFTG3BF38c/pdBI3CiEmS6ywrql7c0RPHTFj/JtqDYtoKfF3
baWshkX1XRzEfpty7twOfZPL/Pd2UStrGkT+8yCIO8iRdlPZn/+As1FPNQ9uNfmVHbCosckoiYJr
xiFj//85Q6wam3BzXd2DE8fuxEXy5Jx7tcA13E+n1eYkLuyfP1idh2hOs7y/wogSe9nKioUVroZZ
VQzlHRMpzoTKBelW4k8ykKXQHVqgNuce9AK878SrF2B1f/Pv7o7Tm1klY0aaNf+NpjSXvWrX3csd
s+fXx+a2bPb58Um3hiB3qSyHJSwRNL1gCwaq8cGUuhNue8oAIkf5RcdFXBap+Ro/YWfO00MViEQ/
dJc3x76Iks1fDtGS4cwXoqRwJGWgQ7Q8Hv3l+rLsSUIHa93YpEiiRjCYpDjY58L6FbkeeeP6cl4v
L/vv8xIHdbP2v6f7UdSWRTWUQuo/6TAViaUV/G2ijfXrU1jFXLekWiIlXLKDyXNEI1/UWkUaJOwu
eSM7m+SR4gzFHYWtwgz7nxvGXO//0u798vK95HI4GkeMPjuFc4TXi+25HR/nCy6JdI7chwtAHsqr
A+UDFBuk2E+zA8/qgKhYuxSc9nwsSfqS6qhu/5WL99bSJ1kFdMEyLH3reMffHXEauP7MwRMMdkU0
U2DZMvNqmF5qvYtthGEh6Kmohz98gh9srnZhG2wK4hoCHWHbhfUh9ooO0eZlHVJPwEli66szDxB2
irh7SwftPTQh3qFwIgoZ4D0g/KFZTCPAYxlPjXcX54vdehVeRRz7TQAXPPXv5dnf7wlT+INPw/dZ
wRGPGGSWsEMs3eburJzglIqHKbbH6Y6pvjr3DQGRiBV+eY/UpCq+/53gG4kYZlgSQgZRqB8suzVJ
zkmUWSeaiSIRRnNIbDQCCZ7FkU10Om18kX6vL2tbeGxMURCw/cxAD9I3B6f2ixE7+uy2Iw8Pn3wP
Nor9t0EkWzjKq+zwdYa12JGb4IlUa6OLGI2s/Zc/gc/tc2tBgNXjE/AIT+KE4zc1PnJmDLNiYxQF
jiZQuCmfH1Aos3yM4MbhjUYczvV+3xD7ij9XrolSeoAvZzFYCeEJR2v1tTvshBnkqKdAfRor4RBF
+8li/3v0g2HFLWFa79gIn9oi3zqylYlyMKuaSfSMCeD9uLHVigCaf2MKWNFNgH3kSkgmgpQj2VhE
kiLs+IMcmeBssSuh1S8M9/jaBM0eNj2zdAP2oGK+1sLEnyzhckW8hy858X5iMTBaG64FI/+//s6z
53xYFuAgblJ8ACHFH8iGtcEJCbt15Cb4irNhcXiVsOMBPyztv5BRRMriHxwxns1CthYD/TT7N/Ft
caHMJlj9GzK9HjxwbuJnvspawYrPq2eusJgFf6+PhdN4pTu9o7vkg9RcPoLE0a0HW5eJbEfsWag3
lq91faw46lgzCIIJCen4cd6XvzxrYZEVrjUJCPYIWsX9iLNPofYv8RqdkE/LbQnLKExfyqEQAXuz
Ua1yscqIrtiN4vpPIsJk8GCdu+1RRBdQCbkzv13Ui+489QY80z/PhPvmJpHAcvhssZt4CsLyS8Jd
3fGPbB/CKgLzHn8nXskluOk3yZAVfoc7FaOg8h2xfsRuiL5bT548boxdJpJA4SyE3RjIa4VjZrLD
YsuLb4qUkBvmBxyAf+I7gYhyOAzsXfzmXZwSttKDqIxj09v5299vWvdrdOAbwgmh3xmE1J35D4oK
HpfLp7sSebQIpkgY+TXxyaGFEiIxzHNDPnfQg2zT3MWbiDfM32aX8LvHaQmH1dwfhkmYFZvQzSQb
vBvNzszsV/k138Gsn3JVPPODbnUbZVXthtUkeAYGe0MmkCPGFGkIMYM40kDlsB88WuL1gZ2l8Gwh
Y2XXkM7i9CX2xtMiOVAdgoMHQT67QGwV8XbzgAGKa+L/xdTsHlZPBHsMD3ClslNv2WA8EYvR0y3b
EBeiWifhAhtvxkfiuYn5+Ro5p8zp1tm+YP+0xIxEM1S1tffHCaDy9fa3h0JMt3IR4aI4A7Nl7D4C
bTWeh0V4ea6zAPayrUgKX+t2W24LWtk+V0mEwS2BXEvdEJMkIoZTAD+AKzamiPUYZuJ7wX5/Uekc
4gQT74wxobTJwcW2/4UWjuRPFmJZhBPktzxhCcgLsN5iP8IK/dfZwAaL04E8FC/mpBPnEA0el2ui
TDwlfQDe9xhsjsSWZIe/tDd/fTYOUaHYnI2FCobYHpvj75kfOKuds8L2iQRX2Cnh9soF5NEiyl3O
3osgpS0w28wOjezGkgm3EpxJ8910B+HMfGLCbDzlL7vJovCQcfPjLRfuiz8PT/R36GdO7NjtfRQ5
/9EV+C+xirqYGvxPoD0YUHSd6TwmtuWZYLz/j6A9OU0RpWXo1G0tAdCb8O9kFZ9v6w5vL6CUoj2P
QKEtBVBWrGqnAWDTUGx6ueGm/pW/qKi7gydfU+TbroYD1i//rX+lwVS/ynPD3MedRsWX4dBUXtTv
ySn6maFYf4jWVI0vPSVnCvL0VvnHFmg+eB/5qrtAnGiqRqCNVIB8H+6ajsN8K+AVdIG90ae6N6eh
xjW6D7Cx0e6T6quI1UTDQRSNR1u0i1PgBCENOTpRh8MWnCAlfGoL+OQz9lI0MSjjHT4/AfIeDu7W
5R3p1gqsK9Cfs2hHL7/3S/rmombfW4h2W+jPgjMiL6NQTDsED96SZyR0QQQGsaLb8oejpRHf0uug
9CsqhD8i7e3MuZNN9xOLzjAVaqC5tHkF7ILSI8iAqQV5H5UbjeKPHKCZQp8VxQ5XAJsEemWkxwo1
GmlBQR7aBBV5CAUkr1mGQbwnDKL0CBfT7rmAonBhBMAVl6lPcxRUVbZLgBF+z+7VR/gR/kTbF1Jr
ptAPv9Sb4fx8E/is0Be11dRPgS9K4HFeAI+WPYiVF/DH51u+Kd6k3/QeHgSmUfR4DG+2F22QdDPS
rOnsEVihgEhNtvm9vKss7wYIJPGaaK9PnJmdWp0VL1ogxUEXtC7pkWvYXIyMWotl9NbQOcq18Efy
VImVmAYzYEyi9oXdfJ7jt9tx/oG24EpbxKd0Pb9ZxQgUWV+/AnmfnWNwlWtkRFyZAOqxqSlzPc/t
ZfSYfLDKk7ycO5AxOH/pd3CjNZ1tBbQl2+brm/vFxLYTuzDBOqr3cLTF9NDyICBy2Ojn4lDR0J7a
M9kuGVWgT4AZ/S1XOdFtTPAlQtnO75YQHnTvX5TDhLdXbPISrF+xb9bdATZUax5MxNvzsxu29+U8
NjHFLwC7u+6cksEMfLszGXsPVbO6yozx/PTU9d5l4Eyhpd9DLPNvvuip374o+kTmPQribXHSDkyC
VZ8QG7+T4kRBu5y/5e8VpiaxngaSy1b0kZ2qd2Vqhg0zsWb/ziwQ3w6Pkmzl4JSpCFGKwDSDDsb+
C58eYhqVPzdB6OUlgajpQdrwf0FLy8pUTP/+g39ffP/bv+jg6ee6JEHeqaC+oUoa6P3/aIKeKrqE
4TRNXHW7/hRoPA7f7zCY8aZ2KFyCh76IDQ2FEVDJP5hcuOy2zRtQQo4rQjC47tDJZgv0v80JnDMT
+Veu7MeXEFjMrKY368aEQzuCJ2PC3AlgkewyPU7AQ7zcyS2Allalu8nMLHIQi2cuwLwbY5+sOqwJ
3dNwOWUHx4g2kZPiJUmhAylQPHXHqhtrhaOQg4LiQjbZjuo/C8mxz7Ev9OjocWIYIppL+eYJaJNj
QkuT/qY3gverwDLTNoTgHUZhSk5X3Z7RVVYBC8Lqz+ntVtNLMfMlK1t09mPRng340Tisz0Xx1p4R
YVJm1mM1fiVcqltRNLow2WXRPcMOvaFmdISrPolXtfQWIr3zpW87Iryz9nS7S0bvYjA72axDyCCt
7kvT3Nn6ebk9GDfDKtOc/mTh1B2MnBZ6d8D6bmuNBKf5evIp4EnBptWm7rdriNlozh2Aur7Btq9Y
04t+MYLoGsU2VMgdkdnL/ujvz9GdR7Yc2amYknXRxeKncnqCPTs9NKv51+NmloVTql4CV2q4GYm2
liBAX3iRTXWOD/lBJbxTuSNoJlZ6BxNMAHE2Gx42zGXRMvzrJC+3aSzECJ6MWtHKB8kSOxUsqX70
Nj8KG6VhS2FXdqU14JuPZ21VXiGbyVa7xh4AkdrrP+Cs+n6W3G8+MlyF+qglTKj+NaLHdQPSzbhT
Dso+aIMmMQdvtlbZA3dM4wZxyJpyW+hIYJDBRIPa2M020kHd9gTHlyz0dGz8RpBXA+TEHL01jcP+
GuaX7Jrlqyj2RqQXW7vodvQCfwxbmPz6wlAFzT3Vu21jrPKbkjGA541MprNtJ06+mtwfy3A17in0
sUMiugrAdDyILhlzBwoJVTioJPCaxHmyiWYb+M5JSdNOZ/6jwnYhGNvR1hrxNTWItOZ9fkgDHbhc
X5sJ0SIiM9ggZuzwYrHzCUAeu+6UXsdVNYFypJ3i/oxm7tzOwlNlOOoMRP1rNXcB9gEOqAB84m3v
eGbz5WMopwn+bQL+jV/7rEyE6vCL80cQAePJAEwxH95M7AKFJubNeOlo1hYSOYX7Qh7YjD7nd3Wv
qdbq561WXfeDSf4eL1wHNV1BqHtp9dIHZj/Q8WXS2xNCHwc+fKEvSw25HUfbwWC5jp+LFbiiT5Wm
q3xjNNgEZM39+TP6Hrj1NwPWFZMN0OlQty/jdAHOFZBrfYfa9Da1deOAXGcGfP0B06YDkHu+bEPr
c+oKuKnstwC10p8UPI8r9Ytwb1yN786MIhdq8RvPHo4DS92MHnXCL0rMNoRmEvSSprQobk7am8pW
2dZXBTkQB7JNNo5VgefXvSjd8mQ7sgJ0kgGMocBRcBrLB5tb9fXU+lQMQqUtawljKoBa4z5/xz4W
ChxmJi3PB5RFEK5pJlRjHeRQOIOpNft5blsKyLo1B3n14Jlq/Xt1qdk1uQkxEs1LUYgXSSB1XV/z
SYlVgmGFxCg5kJ4RHDM1T6Qu/MdGcSEc2ckUfQty0MFslxkoPF66GRTmsy0aTp0pRok6eGbsl1Uq
WFhah6EDKSRl0IYpT/MnXT/9B1R1zm2L1M+3Ymfp4voe0tBz9Mq07G9a+NW2Zoi0WCIpY7cjOebz
h3VdzMFv5Nv4i2SS1A+FpB5iHKDrGv2N4S1t9qWd2xr9qa38o6JQ27unnLn7hsLqrDP7xUnClO9e
5+x1mkqLaeFpk6CR/PC7XDyitfJaDpkrUybrTqFy1mHSk8CbNcv51PRonOY7yvdfxkKLlzfDUXYK
RRcNpCrjxMt0PwWsElrpB1OPxGHtul0fvmo7XcSMZWHzCI9q97WXvfkp1GxtN3FoQu9l0auerXoq
y+ipnElcf4fWyjIkj8zs3A3mbRsq2FeT5dH3dIhFmKUctb/I652E+uUMl9m2OBPPpKDeDDP/zncK
q2D4ouqSbbo7kj/IFsB6IbUWQ/uN6ANzIz1ARDhRcxGj2sj+gO+Lf4DWm0jJiXAmc1BX1k8z15B3
7W3RHBJ/yo5+K6ZLHjXUs7RkV0njQnAVIleAQTtHpTcH1ullsfW8F5sG0CIIhLu0MhoaEDqlstEq
V9yVMyYLPWgOD+D9D5MJcHCvpHA+6ajXbMYMZME6OUx5qCTbK5T9yPUKa7YJt8kerj4v89O5T02Z
OsPMIpUVBQ+xfamR02TmBlYavRfNhdrsKFH2bUFxDX7uwj30AKwcIpMJIZ2rrZr1xE47CiZV7SkI
taSWEa1uy65BmMfR76+5Ba/oo/QetDcim5WsF/1iPBVA1IP0q1ftEvwXCDXQhecephJYdz+mH4/f
dNHaiD15EzDZL/MZ0GV16XqW9olSKDYSTCJx5nfmS2/DMXtAo2rK6yfFjsmeWFOtKOaIdH6wI19x
20Wx4YjRjxYlD/r4IIVFWUSUJfrV405pAZ5rv3RFUikggZSERdEAFTKK0pD85ASH7wrMcOCWyuDF
108F0+q/4Abvzem1OMHTbA4P24DpZEoXCJ4mh6vSWDI5pYhYOeWE2XGqX/piqpn6zwip0KUElAWU
o3HVma2JB0Wk7kXvAloi2iSizqJRCKC8H4jKQe5Kfkz5YU+5y+cBSDYxw4o7f236Be11Ozn80yXv
KQ1RnaHAbJhfL+L/5Eyw3ZC0A+ohHQH/Q1V3pHhRUFgRNYBbaNYST9RMj9FHfGxY/M/8WOy1Tz6Q
9mgUPNcYWJos63Kbsy0oo1IN0N7po76LzQMa8EhkZb48OLSWnccWcygBHKm3Uni2oOm2fNHxuwcU
JZdiyPHBnJ/3fs/ZOyH5buUs9wn/QOIBAjraRx/RqV4m4K8zL1u3DYXY1poca0f9VsiXN9Jywu8p
h/E7xTEx4fIebtWrHpnFZdypi79hvv/2v9UF6j9S06/yMUD5FjX/6T//+/8/BEwaCcl/Peh8bL+e
P/8n/ZL4pZ973fzbv0ym2r/qqiojEDzXDTiVDAYf/ycBrf6viAbKU6YidbiSpzI/KsqnkA+WpX+V
Nbj3EBZWJIYpJcZI/31oefavCFvCSwutrQLnxVT5fxpaZtT5PyVYfDIfjRriVJkbU0P5TwkW4/J1
PTW6uZ33pDToi+SQwr8YaYjhphjhVLTy/FG6odFBRPGcDlYtkwFE8xBgltJvi1GdL2qDnpuuUhka
pj4yQWRYLfN8KgbrxqAyCrWUfJjhR9A3gngvNyD6QbbMSebzdCE1z9ni1pcY0ibMjsUrR1EG4nWr
nXcvs3vAmKpnGrHCY9X0Fwl6Brd+Ac/60xKMvlXQX0MXWVki7aCmtQoI0QVpAJrbcGJCWeYofXmu
0pwuiyHHLuohJWSkoKZ02c4IBafNft5pld9qzfllEAYkiJb646MO6TV0kxaSwflHDSOFNr8MmYyo
ULjquoEp2eRH6jXAgV3k9RkTQEnlRj3McOV+lKxiJgeTFpnvKPrUEoQengbAtlKfj5aR5UGsb24v
ADvSRcunoMDn42xZT2UZnqWnmT9jAunnBlE2TDN0ugTtSM7PHs0UIr8UeYOZo9UN/qrhFsp4EfUd
xEfI5TrNNFmrk8dSrZgorBIp8qsG8ru0J7yD7jNyq7K7hE3dL7Ro+pbBQe50eYtU8WzOFwX2XKMe
Q7PVPOaUkSenQlBMh33fsTlCff7+LHqhxEN/+RUhhaaXawQ27pBLxlYLZcPswZeWWnZak2E1DUwy
Kdpk77cU0qAJar5jY6QLNBGYOU3aiY1MArK93RxW+GlbwL2lzfwwJdfOawxau23LlUHVos4AATZh
/ftQPufzF/QWoZ11TwN6zjb67YoG4HlUUZy4NSDRclmH1AoO9vI4ZiPVtAqgeQ8wDZ6eWN/JTWrD
uUsJrucRR/Ps8aORjc2hUDFrPfLLqCW7S7WFEc1+01IGBj3lhZOy7vxJF0FUVqqDPe2zQ1RVp2m6
VhM/HCFESooLNI9UAyYwH+7ms9gKIUBf9ikIOYXz8kiBJM4U7VjqlIFld1rHtG9n842i9ZteuR2k
ZsLATA5WxHgNAZyAhjUdDzpKfLNJ5OgP6ZLnwCTnaBEgmNnkzixtDhRVFk+9D+peec+kkuwjTqa2
PMQf8uT2iZCRNeuFyEmTzSCGBR+GyuFIMFYyR9wpJem99CCtDnd68qLiXQ8nXb4t5uqw0LJnL7ja
vyGpReAt+dJi9QvxuszR9Yx6pcwW0+S058y13mOcndDkJEOtefzZbZhYehdSukR+1UmVDixgpNEQ
kogTbmPPkOdUG/1ZMyvsPIwhjO0jwpQqPsPbFe0REduqCenLvOmZAEDcyOyTqWSOuoNcSYg2QaDO
w/c2fMDGPk7W4wSu0UfPepalhJ5SYzxWXSgiTa0oPFbPqqOHNVbs9nZXytliMmSoi1Edal5pML6Y
MZIn/lD0L8cYRxHYkU1ORSKmtbs4luauXIeQLCahB5vzZ6hT21RiPxtRtBin21rpV9D7okryIAQt
yLxiuDyhYApJ06ZTZzDUweQTCE9vN6CBjZIs6ifFQx0apTrfpEV4fs4iZIWrKqhvWmyVTb2PuoTx
y0hK7RsC5CY0X4Dhu2xlxNm9jyE0miojPTC9WxjUHHgmbKmu2ECN6ijT5+7Zq5jM+Rgg5IAg9+3Z
WjH0wpZK/es1NEulZY50eDLNnqLhgKQX8WqWk85L5XeXQSwzbaq5je7yHWveWpU6QcS6y3aopkKs
CfW2NKecDYWlUcfX6jHp3JnekETMq4/HRBnsGOFVpEZERbGJHm4WtrDTTo3PpGqFfEIpm1AaDd5L
jt4U6MhfsycFyTZZqEpa+ekrPTZ9HXQQMLVZc5kjrP7UlakNddg5Q8YnnMSZBSPbPrk9lkXVoRgR
lSiAaydItm6wQo2FB9Vf6yiTLMjq6fKVsfMiNf5oSxXZN+QLG12n2qV9xTfjrUvwM4ksH1H5PCcV
emh6BKi5rJBzuSWLdJT2XZxgMNOPTiZ2rRoIvIyJ3EJdjYyQUd5cCLbpMUw6H4oZiIDicp+PTzvN
qT0kBOpoMfaq4b1CEOvI5NW1fLNVCKHYMSDZJ0xKQASs6xT8SR3HKbPVmvQOf9jnNG4AhCnxeVIW
nflAoc2S8+xTkWo/Qy1jLFk8OG6h8OioEKJLDt2hdsr01K0jDRBlkfnVhBFIYwr3K6lx4Tc3eZ+8
NP0OMRtEby/tJJXxdY5BmZc88ln2qakv38ggDpBSA+V3oMpdThcORVtBD+o+DBhun9JgPQTp1bMr
XSUFMjKLqa3MUgstGrdLP249uWnJjKsyFaxVA9AheTjFgzxxpXzemUY6JDisFAg03mJAu9yNYklH
xrdFs0i14BaeUXqWC3eePmE5k18UxiKV1seskRcPbmKUlADGdVzNq9LSTaEoUuyqdVl4Sj7ZzSbP
GFWzVno5r7HkW83NTrPbWxVFGNfmR3o9XmY2wG3b5ulRk8vbAlrHh19oQ7mIGu3lKzNd9mZFeiOz
7CuvlLkjLq49P7oQPrUelXTNSC69SmF4QrV1gALaC3PceFdiWrN2mNmI87Wm/EBQjnOyR2OXItoc
8HUuMtKi7vaD3iDI2TfWcwZ9UhM/koPUNoK1qIYsY6rfb7mMQZdm+/410lNF0w1CJPoMaZV8z4wn
bf9bG2LYHv2yLtPU7uaRsX7qFEIj6RaZVZSMy+lEn++Sfiz812NU2U7jnIp1PUDRH8GYPMCfnRtl
fIg1NcrobYduXe7jSNnUL6ZuB3X+iR6pe8uaNQSS6oj0TEYNFdWinlJtBeW4rmy0EUtcj+rTlQck
4uXZY1131ECj/rFLoYSzmhxbmI5K5Gld90JNqbanXd4toJb+TJ4TzjUIeHVVYzKUrttXxgx4dZws
HzLhCiK+VoH8qgH1kIOoFsS3Ye0Z/YfeZZBTsyaIEuXT5CeTkrvWDTsYH2meDnRZcbnPSkHAMCus
ed999EWeWnVVBOMw0sUYaG+MKX2yV9N6Tfx0J3H8DYARS2b3BtHQNIW+Y9JBu2u0W3mee0Vy2ykG
Ejvwmo6LCMWPJ9rFZZ7WEGo1dCee8uaWEoLMk8GD7MfwbnXi1v0kX6vVxJFmt89bAiw7nRlbXCDR
zrNgukMPHa2TdlFHxiwhBWnCP3+4Kf2XUT+us5AKvvHcl49+MUECxuvLmRNK4/qmPlRXpXLeJ+1V
fVQHxGOQA0thWKQyM33IW0i6ZjbiXADMDb5Is2Hb5uADhmQF++tZ6WNPLwq7S9U1rHOoxoz7Z61d
Ku0GOD2vV1pdz2x0i9ZTmMpMNppTj8+t/ny5spLuYHzL3LzudkMYgw/oqzXChZozK2+7Kg5PLWyt
9jTGdM07Jv6zRxJew1JRV6p0Wz0kdVENt+UzJpBOp1Sr0zr1KlWhC1Y8PjpjcF5JlTlZD6M3Ufu2
yasjUho/t3G8zsNOdeZVL1mSMXlZyVwFNzepGVBVdbgMu61xAynIMg6PwaC5FZ0RevTD55DarzlD
t6gn27fZRu5qT2QNdjvQNUGfBy7lNHZRE+BBlgMlS7l7bRQFEdobBHNFXL5rRl/ZJezLZqvemJSe
KCTqNyLFR0H4e1NsuaIwOW2XEFlOd2Va/2oNKUVPGNI9ya1e8Bi29cRtnsP7WLH9ZvDOLbKy8sO2
IHBAAs7s5r2bydDk9LQaS4arJ+1Ke0qw9OSVYfNhU1+ZK1AUPM7/g7lrW24TCaK/4tp3qWCAAR42
VbESWfFVdhynsi8qIhEuGkDchf4mH5CHrXyCfmzPALKMjLVOUFU0jxZuZpqenp6ennOWCyQVndDF
1Ut9bgAfDoRpwXVOJ+NlgRvICkOQ8k+CWH1iyadiLwJihE0jOM3gM0De7ub+De0lgwLY3HGM6AlB
AELFpT/O6RJcXR8FnQwxob5FIQpOkyuNhCgsTVHoh5Sj+3mefdaJBdi6xL4El+WFspC+qD72YDbs
VV8AGnp1A5jMQTZPPtlOhMtAAPZ+5yuA7NET92s8n3ySROF2TpEPlHF2OY9Q4QkgwsUqi4YTjEkU
4N2wNbLOwPU9BRQ+KFbBjOJnjom1IRhQXz+fB/hY1pzhGIVZ4D5n4dhauTfpEtn40IOWWADYfEvX
k1OCgGAIxqr5YCGhlMDCaQlQqmPANSpDLJ5nkzBURsUyii8KVx3mHpvR8DzrAVadEelCm+DwkaUu
Ko8YwR1pkj8wjaVXIZHPJDF3BrorXbsJtq8ikUa9BXKagYvNcJhb8MQSePdS3Gun+aUEQx1oNCtG
aepIZ2oItAx74tpAJSTXc0qQ9bFWl1qCMi62WrD3lg5wUkthI7Ja3AJs/VIFW5ar+0BhUJHZw6VE
WR+zSEXunNg3k1gWhstJFn9JEWSdUmmJlU5n3lDLM/euEL07ml5LYBwABuo9qElOQZkC9PdFYY+o
EvrflpQBHjLI8xwHbBEyToWjpqgrDzIZO6ECmV8wQ+FaByLL8ygFRWjuYT2XRVPMdFwBzlTAydvW
5OMCLLGYyVQZAWP/ikjqBzcZDwa5g/nnA18wjCfn+lK7sVY59kcTnDnKS+QKAs8CEgq5LnordwzK
WG8QAckws2bcF0gOtjNOhrJPILeCGgeQ5sT+IDD63k81ETijes4BRbHkoK7K6p0HYvGBhl9obl+S
SL1guo2zkWgxDCjuhBFcJ4snKRB2VuOeJ46xZ0FBjgrMSkftkdNYRm7alb1Pqow8w68n0o6FcLTO
/r0DDN97P3GS4jY1o+LOBMt8nfyzzID/WiLS3QOG8Xce2jAltQs6MUuh98XC/PsvY+Y5gPWIk8iZ
Jk8zbDp4wWQR2HuNrFzZrbLP+6QwA71OZxCPBBswzDWQgyIfxgLfqv/O83UC1YAkCILSsiHzhjc9
0c9LGtg/uEqV+5/Z1/VKN7wmQhREAVDuXTWg9EVAFAIVvh6ngJzlriKQfkQAgywkb0gM/hFFTIPU
xzp4Z1pO4D+1BGU3NfuCEewI2BoBPjXGJVI+tMbQSR8IdZooAR2ybEBy/CNDf3ESKIra/fsLlGoc
EHNn8EpfwS8UCP/V4KsXHdEE0GWC5Hj1TapDi0d/8gseQO9LFHl0VQNUZ9me2z+wQSXk7MFHzFtl
bUekh8oRSNW8/H1FgOqBNw3+sGq7s4EbBBrOBko/wKFIj2s2wCAI6WwQWBKoqkoy4ac3DXcAOkAV
RNRg+3tU0LEpQKCK0NUQtL4siyo2xbXD59ilDT1IfUHGz1BSZQgoBz4uPRAA8FbW+fvTQe5rIqU4
WAOCaWP0/LROkARdLWcDyAqObfS1P+jqGP/XH0h9wlVwvP5AwsfragZSHwjwOJglSJ1XbcccaF9R
BCKIMrCZeatm36uWh1c8VB24I+Ye2A6bldG2Y8ZtQflLD2xCzee/12FmWV8rPiJel8/x2Lt69TYW
f9OIQspI+MmPm8j46b/X43v+5tY+bf44ArSIEU1tsM7zvUXdy2vDQ7g+MNjMiBvBXxkBbTvybMcA
z1Q5gX1y75zYiLjsp6JrL9JV9n3AHK8hWJIUDV6lq+AHgzETqOoMqOnptPmGyvK7vuEaVQj8DRU4
uz8zo02vudFgB1atNp1fY0TO+t9gV7bK76F0lX1lWDODmU1E+ce9Y1fpg/XPaBZ8begeXJka9mXd
u/7sq0IyfBHi8K7dPg3Y+kdm7HzNOpruKvxtwtbfMXWnOx+0js06i/eMVeA3nUC14vFkQFfpYxyo
eEbR6HotHetpV+kPRroA9cFG0HYXLwK2v6vwAY5fzaSNBU5EgNZV+llqZI7RVuTEy5W6Sh+lOKre
iNmqhRzAAaDjjr/+0SZd3LyxNdX0qoXjNnX82fpHi72Qg3iAhQM+jJO2/FdllbxMq6vy95Cnv5yI
e5V2Bqk/A5mHh+W8Tf8HmK8PztQ2mst2rZiDzKjY8FttnhxgRr2NdlftuucHmE/7CSG7flU7mK5/
buxuO1ulA1j8W/QtCFOnxVx4gqOrqZckM7txTKV26QD+fV8ZaFelm4hQNwrY6lw+gJlfGidwkq4T
tSid51YPoPQN6c+J4c+e8v5shG8HVNL87NVV267iMTH/fK+xSbi3/VtzH8WfmDLTiN78BwAA//8=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Ventas por departamento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bg1"/>
              </a:solidFill>
            </a:defRPr>
          </a:pPr>
          <a:r>
            <a:rPr lang="es-ES" sz="1400" b="1" i="0" u="none" strike="noStrike" baseline="0">
              <a:solidFill>
                <a:schemeClr val="bg1"/>
              </a:solidFill>
              <a:latin typeface="Calibri"/>
            </a:rPr>
            <a:t>Ventas por departamento</a:t>
          </a:r>
        </a:p>
      </cx:txPr>
    </cx:title>
    <cx:plotArea>
      <cx:plotAreaRegion>
        <cx:series layoutId="regionMap" uniqueId="{00000000-7157-495D-9CEE-339B3970C962}">
          <cx:tx>
            <cx:txData>
              <cx:f>_xlchart.v5.6</cx:f>
              <cx:v>Ventas</cx:v>
            </cx:txData>
          </cx:tx>
          <cx:dataId val="0"/>
          <cx:layoutPr>
            <cx:geography cultureLanguage="es-ES" cultureRegion="CO" attribution="Con tecnología de Bing">
              <cx:geoCache provider="{E9337A44-BEBE-4D9F-B70C-5C5E7DAFC167}">
                <cx:binary>3HvXcuRIsuWvlNXzBjsCocemx+wGgFRUSbKKJV5gLJIV0DIg/2Y/4D7sN8yPrWeJbooS3TZ9zbaX
xrZqZgAI4XD34+d4/vN2+sdtfn/TvpiKvOz+cTv9+jJ2rv7HL790t/F9cdMdFcltW3XVR3d0WxW/
VB8/Jrf3v9y1N2NS2l88TNgvt/FN6+6nl//6JzzN3lcn1e2NS6ryor9v58v7rs9d94Oxbw69uLkr
kjJIOtcmt478+vK/Snhk0yc3L1/cw/+6+dVc3//68tFlL1/88vRhzyZ+kcPaXH8H98ojfPhRXH36
F2P68kVelfbLMJL8iB9GpPD055+vc5/dFHD/H1rSpwXd3N21910Hm/r076NbH+3g0cht1ZfucIIW
DvPXl36VV8WHwwEkXeV/HvOrw0b88087/+Xx8f/rn08+gLN48skDCz09uJ8NPTPQZdLdtDf53V9o
IHakiBCaSfbMMBKshbX8ZB+MvceG+UNL+bZhHtz6xDAPRv5ehjmrwDtf3N2/uLop3U15d99+Pa3/
3IXUEWNEao+pLx4ClnjkQvQIMxiWkn6+QH2d+7ML/bm1fdtk33rGE9t965K/lxH/y+X//t8Q926r
rwf4nxuP4CMBhmEeI0+sxo60JEp4Un+OjBAYPwfdL4HvDy3m29Z6uJEnVno49Peyjqnyf//3cPMX
OpY+okJgJpX4kpuem0hhjwrM6ecLYPyhif7Iir5toN/vfGKe3wf+XsbxD0mp+3o8/7nb8CMshNJY
Po11B7ggYAh/8Rr+dc7PXvPzdXzbIF/ve2KOrx//zYzRl3dJeVPctLd/IVDgRwRrwbUAWPDp57m3
YK25El/z1JOA5v/BVX3HQI/ufmqmR4N/L2Od3ti7m/y+/AstBTkH4LYCTK2f5RwsFBecfrEheNfD
gPaH1vJt+zy49YlxHoz8vSzzPwDlfloN0SPvALe/Vw39oSV920APbn1ioAcjfy8DXd/k+QF05y/8
m/6vDHX0SGjFMPfEF8T91I/EEef4UJeTzxc8CXV/YmHfNtazBzwx2bPx/7cN993VfQ4+n+HCo4v+
JMvAjiD1aCI0GOJRaeQdaawUoewL/SAeB7zfy/3vr+TbFvr9zkfr/p9nEL7PLvxGwwQ37ib8xN88
IBh+PPppk0ArPbn1S3b4Jp77fGLbu19fEkyw0B4kk9+oocNzHqWWiz4p7/79379VVo/vu7/p3K8v
D2QQVeB0mHlaKAnYbrz/OqA0lx5hlHP2eaiEkjv+9SU7go+pBJoCliCZPvAUXdV/HsKSewRjzRgn
8FT6G322r/LZVuVvh/Ll7xdlX+yrpHQdPJjgly/qz9cdVsshpx4KBQElgVTqUBnA+O3NJXB0cDn5
X4NL4hjXaAmKpTvL616s+kVvO1KwbaLG1iBd2BCnIzNkWhpTlnPtd151zeY28YsuHUxU0NJ4rkhM
QqfrRc7cX4ibg66WrxlpcjPbrPZzrYqPbrSnNavjUGt8yqI9rtLOFxKuqS25mbw0nAhLjVdlMqAj
bgxt4E+2oNi4scr8uUq3I7KJEQjXJi7LwlTdnISLyu+8nJX+UDWeyctZmExyFTRymU0VNYnfTPEZ
7kXqVwW+QTpNDKlHESZTUZx4CO3npI19WZbLSsj+StR57uPWvYv7fA6aiYQLyUo/X6orVjSv7NBl
hk/jrlDybJoSYZY5H4NEdsJYO8d+v9g3zkbltp6tNDnFzQcvU28mqa9z3jVbLmsUAkfVhKwju055
3Mi8icNl0J7v8YyckylqVqWoch8dnq8jr/dnhfeYjcGIlRdmReKt4yry/FgknqGx06tFkMrXvY38
AiM/m3C1yko4gbLvT1yT6KBtXH9WVwm/HG13VbO5CnISfSgnWYRTq97MOvpYNUtpkhnHq3pO8qB0
1V2f9VOIkui0VVbshtKr91Rl+4nSbDU2sQ4VSpY3PK+kPy4Z2jecRMYi9r5Q5I7a3IV8KU4Xiphh
FZPByKJjRqp4VbXqjtKkN9U4pwEv0Sl2TTC7iRrRdH5NeWTSNLqlk9jmpOuM5HY0xZxnpqqcDFwa
7/tOJWbM1Xm2sB0dxivZkcH3RL5bMnySF2f9rqsj1vp0qpdAadkaSXiYc1b4dTYPBk8896NR3Uy5
MM24q/RNlxxrV54slfb7NDOsoCZvWl/F3nYuz1FUrxBezIhaE3evWsp3U4MMZfFFg6ZwEOJkZLUZ
BDUl1sFMBuvP0wyfOJUaNN2U5DSrbjynX+uu2CNcBiwJrCqq0KanTGdBJmXgHY+DIhecVBd5lQVe
XR5HNOt9ljdn6ZKCjZp0Vas6WuN8PqEIPiklMY1Y92xEfuE2EXykcWGcFdsGB15y02tXbYaJTobk
WW5y3oQezv0y8VZZjldJu1QmagYLzlGFkYsDETW3dVtft2jcWsE/pDW9Lrh3McjocpmjyYxxGjQe
8Zm41ALe1d1Y7hZ4k205mqQWPtODj4bSB6UgzKPqDukm6IX0SbKUu3ZEBg2XevR20ayxv8TVWbxU
Ww+p9VCjwc95shmFt6mXxdctPrPJspL5NRXproHdz2hy4Tih43yM+7NClRdZkp902DtWfRcbzMSV
nraNEjcFr2C7hbd2GQnjaXnjlWg18ubE5pHP3AzOCDufurdeSi5IkmE/W1BmZrf3vPzaMXuf2Pli
KeLGp3V8nrqK+Hys75epu5RF7tcoD9K8CqW+a+IojOfxTS55SNhoUnLSz3WA053MP2RzESA73oq8
8olHg7J+D0qGz3Bn6OKtLUlWIo7fZk0bDgM5Lr3Zn3v5mi+j6WwLb1CSGC2610sS7bLFbmt9WkzX
Ud4HlmUsEBXq/UIwurJsOWFtcYjVWedLu43UJUrvVP6aljMExhGfQtAvAjElo5nJdFJLCKsM2euq
p3u9TMO6yObcp2g0lfpYL+pd0vTvJbY7OnfvhqGOTZeRfNWNYvAL66WXLA4ydTcrua7HqTCyaN5M
va1XjSSBE/A7GNT0dy6d6lXZFkk4NZFaqyz5uLBXquCmSOPYlB1+T4kI+qna5XwoTIzPuymaTTex
YdW4g/sWsvLnga8jkpmiag0ZiiywCUnuIt5fL3hezIKLq5TX1MS2v2ftFD4UQh4l0tuqhlRm4y9S
1G9//uv0q771SRz5/fODmPX7X+fDfev69v7F6U3dvVhBUf9J4np6zwEB/XbT73rLAXL8Jr4c/ngG
gb4Dcj6rZ98Z/DMIiAC6/D4C2veuL27mbyCgw31fERA9UoyA0TyPEkAtFEiWrxhIHgFdLDVQX1xi
SjyAR18wEDliQIlJrQVVkoGeA/XKFwyEgAuApzCAx4oAaIH//hQIUiALPQZBhDN9kCOAnAPU5R1A
0gMQlHa4z2uUFUGdDyXKdsNgu9xvZEvZZVarCXI4idwtcHjcmoolWbrSHs5uqppBehBKiX1Fi/wu
mxpxBgk7DuNuSu5S2iK8ghAzrou5iQFCMd1cdAz372vPG2kYUzlxfywVTvxhJnHg2qoHL9dOrKxD
+kbFFdkmRZy+TasmzU0Ph3FWIsrOeEnyK5clS0h11plE0BYwwTBtOCZ2NXZFQU5gE+2p415zzFxa
fWy82GKjsiUKp75qb0mL06skW5IdYbLvgjJtYTOUDydNVY8fASt0Gy5797G3Dp95wKL5qMzVLirp
fMlj3vW+1pPKgnog2EBAz8IJkU7sXOrKdlV4k/N8V6VzbCLWFddU0+a079qlNlnWF2HiRnXr7Mis
P7FZ5ibDTq9JX3n1hixMNkaiFL+Z4zEN1SLyDVcEnYxJVr5tFu69iyK+0CAfMTJ2HvvdMiC+qpux
U2EuZRTgPsH7sUm6gGsHOSpjsahMXST5nrJBtKbJZHfFMR8/pDkeV0Pex+uppv27vtfKn51M3/B2
KM5ZZ6s32JtQFI59TN/lWV9eE4aryqSqijcTra9o3ZZhtMRqY3MxRn7TleQa0q2ITVMwGplFq0kB
zJNTbHjbXtUKmX6w+xhxdJ+2kzf5cODZnR7EaR/LO0kQv0jGBaBm3WnP+lHslm3pSkA45SI3TpfH
Hp2j3dxGH3qX9GdEJkOoCk03VYr1vC6EHv1hzAFVF5N+Ew3tfaVEfOPmgZ15bm62/dTVG0uGhppB
sjQYXGRXbS6a45G49KxX2q45atqPkVjE6M+JwDtIX2WQdbY4hYiu1rQRw7pthvE24Yt63Q3jvB7y
ttzoSLX+qEd71SZIr+eYZdYkXW/fCEgq555AyXqkVfSaDQxvmWXTtiBs2c4AUg/oPPV8wmVWm7S0
vDVlHKUO4GVVaH8WXfuxFlnrrTyJ5qAHjnfxWxU1NmAtmV7HQ9FcFVFNrJ8IPm8rLbtN6mHrCxqh
yy5GFTPeOMjLpas42nWddNjHS8c3UK3FbdgQbwwdbRJkYp1aXyX9qcW09meklCFztY95HBIyMFMu
eIOipu5NDhfss3gs9skge3+Yum6bDdQLSWmXbVe28FyLzikv73uHVsTD5dncx9fdzI0b6pV08SWe
yuYSYgU1SUl91CUoLLLsLWS81G/T4Q0rq2OL+l3Dy49xIurUj/G8mjxeBkU/5f7E48lEdJJ7z+JV
mmboGpBBflVBeHsVo75dZzTPQ1sv74vWTltvVAGO1TuK+7OMTtZH9XyL+3jrSFdnJsnm91aNPjim
iQve+m6ut3RJ61VhXfuWuI76DGDxqpm6AFXVabFAaSLbTwBTv80AslQ9C3vZVyueFSc6i+M1jWd8
Uo7lEIyuCso212E/F8pnlPaBaMGdRSp2uGnFLdPdm7Lj4AJL5K1HFZXD7ST6cb+UeXOS8Xg96yo1
NJ8A2heVNW4eryGfrJFC4cicF2B4k1bNgFt/lm42BUnDOZVoE3eqXtdEWZMtTdBG8ipt+WwQDM3d
UoS252dJGvnwmjkzWHQ9uCUPIOL4auzMPMpuVRVO++XYslNEu/FSzp0McIaXE55MdhONgE5QiWeD
c7Ks8vJjGkeloUl0a/sm822B3o00vu/LBb1SFM2pb+klHpps3UaEvR67odyVJSAfFE/9BzbI5aq2
VqxnFw/XkUyh7OkHl69rZAEutbwPM16MmemIra+Lch5aw1hR36B5gCA0zPH8UTGnzqZs0qdUJF3m
J4yrezLGyxqzHHOTIagis4zo2zQDvG0WFVWXnccPMWiYmgGiBCKTSUEukb5MkAtVQsQajV22i1or
j6EWGoeTAU8dvC9oGi6ktsn5UnqdSVt7n/YQuAFPjugqn5riDa9UdW45z0/SiLyyKi3MnFPu0yiH
2NFU6qK1cXFetjF674EPV6aKM8CRELyGt6Xohq2Ik2XXTEAOmMTi4kPfz5AmJyrt5bgU895meN7m
AJB9mbfNakBRtlGlaIyNdWd9tjQSSg7arON6yo7pCAkiS6thCOKoxpdlheTOEy49AV8dXid55Ph6
blvySnWzPJ4dAkft0h51ps5U/WFoPHViSzLeqokXJ44sGfPzTkSbeuTpCuo5tSm7EVx40nkBQa6G
+rBBI1tVava8QEiWx4ZkWDkziUldZDKTpcll5y5Fpt8Vi72oyzLdxB6YxuexKzvTs344Vl3G38nY
SmW6mtSTr6cUXueliApIiZOA9DE3ByoghtxmXBnJV8ICjBBFHUPFULAT3nfSBhnO68Lgdq5bA/6D
SmOJyi+8rq0dwHebqrUnyzw1lZzseT9TBtyP7BRwD/WyboktL5qyspuYJLL0ERoXPxOLvsw1OhAo
jA2DGcuukKZpU29dNTPdC4BFp4VY2pWDl/5i4iTdFXKIlZmTuppNVurm3dyRdvXnQfx5fV9eufb+
3gE+fwrKH2Lyf/19gbxmWEgKmPb7OP7spk3+/X8ewfjf7vqK4sWRokwAJ6045YQL4CS/ongNDXHS
g5YDSeShMQTw9RcU7x2BrH3oRWAeUJ3YIwDwv6B4DJ0KFHMA8RJoSK4pcKNfC5ZHFRhQuF/+fkRl
PsHwkhPJDkyrhEIDAtAB4z/A8CgTbQ5phAQzWuyKNk18nKnEbR4cyzdm+bTgR7XCp3k4cKXQPwGq
I4ay5OE8uBqzbGLEBV0SSRHUAD2ZmVPHoEQdxhqbdBimKCRqAaCRFkj6uSeAUqFaJJOZkWuu2yxV
0mjIgwCNY0u9wbQeWs4ZZEduFkCsiQE+FeemoEN1AUmkBkDJ5gjye7fI43RmmQznGAoDX86AKQxL
UKd8K5fpBLeA5v2YiOGdtNxd5t4c33hexbixqZZzMMnWXlWkQy0wbak2nsfjaxRZ1gQLL8rRV1SQ
y6UfZWFyO01V0KR6SE1vwVn9hTc18VPSZff9OBctrLwUkO4bW2K4pOaDSYZk8YImViI3soryYmt5
4tCmY2mptwMqIA8PDFBySLoC2A89xQIorbG4jxtRW2BMeFr5DHXz+xhJ5oyKO5mFcx+1MujLDGVr
F7MoCbKpT48davHbFMJDHmTaDldqofoj44N6O+SyHwIxO8AtvGtVHdqljivTLg2mftVNHeAuSXqI
U8sA7Mfc6MSaOStrAfRixCbDh9Juk4Y1VcC8yl3ndVnnK+HaTKx5k4KBKjDFZLIhsqk/RRl950WL
vC2TqW6DIZJwGg2K2m2XcOcZr2XJK5VSnvn9hGayaSeHrIGVdS0E4agtzGhJJXyZUcjOEYoKz+ja
y5pwJrzcW06bu3GWyyWGOqw3KMnHHbbjgtZ0jJYsLBsupenntrztWiv2DSngnRml4o1J3aQaX7Ye
+ZhFkAxMo6CHds3UgXWBjE5xQMTSZ0YD2ikMU3x8lehE90b0tASG3h3WXTR0ik9JlTsoLeZ+2RRI
9yxotbbvXZ0tsckBMLWHgmxIAyUjDGS90+keAbvjR66Z4ZwjLPdIpXDkBTwjN7gaCNvF2kaQLSPQ
UQJU6u51qjsVmTpv3K2u2IT8RZP8DSS5+lU7F6kN+pTEt7BaD5uZLRngF+LaJtTV0jcmG624iB2O
er+DktH5eTFGg1G1zSd/8qK6CWRqx8qIjuv3nVNDZloUz9ZMWU+vayBc3xHnFe+GHNXJltOaUsPx
TJRBNkXjJrWxTfzaZUu+n6eS3TtMuz4Y+MIqk0OtuRg560H5WJO0CCIkvAUo13HAW9vPABwm16jb
StNlMrYp7KmX9BTgW1SSOewbz6Wbecj4PmqRfC87Nl3WEmr7ExajbAqisUnXS4zG2rA+G9sgoxmU
Jimqu3LdplG+0wwK8F2XuRjqkSYGxWIol90CuPHe1TNYikB9bM2fz6n/nxBjtw+7qL9KrJ9EM+Cv
vp9KfxdRfxcTOdzxJY0KSKMclDsOMp5QlGvIU1/SqCIg+ylPMyq9Txnx9zRK+BGQSNAKC0IiwQzS
6W9pFLEjz9MwJBT0MhEK2fbPpFEOCflRfuNcSwVwAdIodHECCnic3/jgtbOOq2LVhcydFNfVpTvh
b+0lWS2raD0Fs7+ssjOSmOmk3ap1vV2CetWfNe/by7Yzw8fsFUhwhb8bwjEYwjl4PQZXJ7XvBXqN
DYh2ptsmfhJEZgK/N8WyWsy8yu4eHPk30jSB9uBv7ALahz/tQurDLh+ggVFSIasRdpG/7cM6gAi8
Bjw5YePtQUmbrsUqDW0Qb4tjdvmTqYHofD418JWMAg4BrRZM9XDqLtGzJawpVt56WU3vUurnb9Vp
ca3IOjuGCLpdlJ/LYCnPyt2Pp/7GzAp63mFroA9zjZ9ouYmaQAfru2IFjYarUmUn4yTXJJ7O8oH8
ZJfPphKYAK8psSdAp/bEk/ONOqjVccaTlVRQG8bIaCAVcLoBRS/88aYOx/VQoOZPZjqs5IElxYgT
trQw00AvRwZ14+sfP5/IZxMQTxAKHgTwEdqXn0yg+jRxRdtmK1alcfNm7gbhrVwJb88blaGiOQMS
uuIrjpao+VgAGyyuDimj3mZd3k3XdT42Qhq5VHN3XBfIDZtq6qX02ezYcF3oktKQDW3U73+88MMR
Pz4YAOGKkwO41oDwDy7w4GDwVKGaQx5cJcPrudiLVJmyPvnxHM8PH/yHEsCmQNDDi/UE7OYTTYqh
gzn6AbyG73jVfU4Yn79Rsv+83oew/VkDAhfwIoGrEOIpxiC5P95GL13qTUuUrCLu7mpShpSkJnPR
DrL1a+h/MNkMqiaLABP85B0+PPnJAcLMUn+aGSqHJ46KWyHtgGFmcWov59No73bJflqPb358hp9e
oOfzaMEgrCuPPnVL3nVlWnk6WVHzvjH1CTXYB/QUgFYfLmv7Sq9bv/R/Mqn3rc1JzCEUeJ4Uh7rr
4dtRahl1pc7TFVvn2+qMb0APXi279Exs0JZsfzybB/ns2VFq6CinjGoovfiTyINQxksqabIafbFm
O3RenbVb5k/mHgTa1RAO4eJPYWSoD5J5mP9ks/Tw+KcnrKGSxAK+lMDBlR9vVkaZjLzES1bxVuwa
2Ox0HG3FVgVuM2xQmJ3KS34J0k1f+YNZfKT89D69R3d0r87EmdzqrQ10gI/llv/kZD6d8w+W9jSd
jrXFwOHDyUw2jA+6eEi7jSNrBaJxboCjK0B4Lg20sxRXMgUy6Wdnc8jXzxYAcZowqIoPEtuTsymr
KaXRmKwKYzd0Bdh6pXaeP25UmJ2ht+htcuzOo9rAL9tH52zlHaMtDsaT6lW1b3dsM5v+Jz7/PKpA
xXEIW9yDDij11Fx9XdVSp328cl1VxqeYq/YyJTKdjn/8Wj6fB3IgAbBFJIQWDz/xgQrlUewJEOuS
CrjxYM49KG8g3iVf5ODvBrHnoRgCEUiSIGUSj8BXmh6f8dh5TTECIF8llt2Kolf+AL4CbUCL/Ik5
n+VdUEmBeiDSY9C2TvkhmT0I+lwrVKp6RqFt0FoXIvT0rkwyn5Y/y/CfRM9HL85hKn3oMgTCHLS5
g9M9mComRRe5rkch1FWX85k7Rx/cFT9uz7MddPycZ/sybM6X19Nkyvf4g/rJRskz40ngjCgVh6+J
SfjCypOd1oBNkTfmKHSrettuo13sx4EG+OSt6jNQav27P/eyCGCn4BcYb0A2EEqe4F4ikgU6WsBP
yqQNobdt4Sj48QxPbQczUArcGdYeByWcP/HEuI+9so/nZDX7la/2+ab6CTn19MjgrLgHaIQAaicM
XsbHFrOepI2cURbaKZcm5os2zI11+ONtgCj/9H0XoLTCEQEkAJEKzPQEeshsSLpcJ1kQRTY/o7aU
XnwuutLNKgmaogYiA9g+WfhdzWAlPLNLF0wcFdDv49LxVb7YbAnyosV4lXG8gL5u427wW03t7Ndy
FB9BaKLnAE7Ilpe5w2vouSMfaFzJOMSzxftU0LoKYmkLFcwqrlfw1YHFmRSYH2tYA0WMyStWWRBV
PRWbJKa9MzF0jbwSbUx6kCMU2dhiGfPjZkHaBdr1fAoF6AcFwI++i0CFSvByLAuKvaCMU7sEXo6b
6TptaCT8IqN6uqLCLgS0DhL3zk9pTFOjchdLnxfF1MNCsuEC5EbiBUvapPs8E/20BnFbny99Mr5S
2QwLreFLQ9DoMjFY4jS0+U3TW1BfOpW3ow9kTXcpestPmwg76KKSBfB7Qy0JcFt93pE1HGZcQAdA
Hp33PajbBqxX1kFOB1IHDgHFArxFPUAnXk2BdsSjPBN1P5ThMLI0NbJMxMVQpwvzlxT6ZlY8JkNu
4mWozkpYVO1rqADeRA2F9oAE6Epnogo30O7ZunpcJVNbdHC1OHR1OZ6A58gEJOIhHbOTaln4XtVq
LP14dtA/ukCcmYxjHsqhra4p692c1zDbuFjrTNHjmvqiFiUxIF7X7xs6Q5/jhswSA6eEc/kRyMqu
9uWSQvEIsiLItkPaVc5YDQyiDwoymv0sbZEFP0bRPltc5MJYtlGSbHM5aJuu27FublJvLgpTksIl
oUR6bvzZo7U2ZJmnU91VqgvGRjuQV9TwiWrilQyBwdQo0O0wvYuzpUQmnXDeBqmmkLxVCiKUpX01
hTGoQZPxMGJ5UJejm/00KefIeEXRvrb1kNTGYz1dToaZpZ0Z+6hONlJMkQqBH5ryMC7hDTRNk9Ur
aAD01jPwssqoDqpOoJbKvgZlvbQNeNNC30hSHtoRoP/EgzaqG1lhWQcVNO5Q3/EK0LSUqNqMNCFX
4NML37SCpuT/sndm23HjWJd+lX4B1iIGksAthwjNki3LlnTD5UmcQQAkwOHp/x12VpWtzCqXu256
dfdlKm1TwQCBc/b59mbR4k9/xOintVmQJOKza2QyptWU+BesLQxFd1VykgKChGY3dPPi04lOINUk
hszJ+ay46A8VY0GUt2svh9RhOW35Bv4S0hzo3ScZjSuWt9QyGLJaTOLB0AiPl5mjocqM7kJ1Ro1u
MNd3sP6k4VaOIq+pl5e6L6HE+diH4F6Vtvs180rfttA3RRouc78eq2C19flaoUlKFWrTz1DbG7DK
pg/uQzZHUBrqJgxyOibRmsY7NLFUAtBgmYlN7zOokn1/bFgLOrkct46mmJSSpmhbET51dKQU92VN
HujS+CcdtbrKwbSGRRAM3Ql5Y/1RBb27EcmG0emEW38VDVHrsjGa5wcHVf+tmJUnuI8xVFQzYCp6
BM88X06B7iEO8iT8SldnFii0U3LTarR5OQskuJoqMOt6j7nvabZLyiqqz01NRZO1W9O+dCh4woJ2
fClzrDdb5oZKv+XEk8EWkYs2mo9rNZDUNuWk082OgDtk6IzOy2G4AJez3gMgCjDX88uQe6jztPBj
EH2tAsXluQYqY88EMCQGoHlq5tzjwFFFP9N+zWPVTDyFWg3dVZud3NCpwRRRKql8umK+WacdMwqj
jXnVU0rCREW56y1WelCK0h6q0Zq9EKMeqiO0kooC5LVllE2Br1Vq6xJFB691686TuiyPU6U7IIS0
6beM1bJ5tnsju0JyAIw3VdIN9z2eqC6tF7OdxvPWLVnrzYzNdBwaYLteE+xK+wS8oa3G6WPlHI8A
xfCeXUKJHekZN2RFfaFr8XWhIcej1k7W5W1rgIyLzTqfQXu31cE38f5BTlqSLNikwfyl0/qqt5qS
zA2ix5VF3wObJ75crhdfNl0BflzXN64S4JL54HyQO8F0iUmDBJuE9pc/VspRjL0X17yYNqjjAk96
KVI3k6o758qLKm+Fxda+7C7os60SE0s3H05f9WbWHUOGfQzSaFvZXV9DA06XkuOJJADL4rRFXfPF
iaGJM1Sx3mY1XwDHx3UlaEpXga1VNa7CscdVtONhTsCg0S0EdT9OveYZdEczZtMgx6c4aWdAlYys
Hjp+BY4+cBEFstbT5BIbisfC0MPM8XPREXNCfqz0T5Vj61i0g9hwEETt7HJdmrjLptE2j+PcYeMp
l2r8UoKcVzjWBk0u6jUWe0YxZknOCMxlbYZykL8ZIUW826Wf13RH6f+llcpdSjF3oC1arKgUilVA
cRIMy60XGiMyDdTuy47hhD4uaEtM1oI29jlpbFmn6+Cad+BDDMhsyxjPBViOLmVLxUENq+Trlshy
xaVrl6CcqVaGAYlFAZHU64b59enHi4vGTzLZRZxqMEBjPpEtJCmblw27V6zhCKiHiZACIDchZ6va
8R1nLPbBE+ZPO2YcE+nYoZZaPQdjguEFbQaqM6y49nHmFjtvGBvUHHy17bNfR+w/xuyorPBJ9Fcf
a42bsYTzfjb3fFwz483OC5Bt4Uvs6QSQbuGWZhPkLzAP4T4/2YENLg+CCWg7Wif3vqd7s2aDYDvP
o5ZY0LP1RIo4bP19uToZFiXn657FO/a5BB3oR96Up4cjmRqOh6Fvti9tuGKgMMGbEVepFL3SN7bx
qwDQ0ozTwaFD/2jXgewZwyN17mzrogwba/Sh73jjsn6e62szD5vEnErub7ekUn2WLCT+oub6RJgt
FKM8zJdUNrdR+Xbs1xLru1ySdyfOKw8rJppDQ7poPvCpUfRsL62v9rRuoPJdGVm7ZzAak3mjXJi8
7OgF62Ji8UCBEc6DO06grgkcIwubjjv2ClaMC+NX0hjUg9SGETwDdQToMkRD+SBnAeiBBVX02LkZ
jVA4TvXJ1RCXUerifltSVu1iS/mUrHe950Jl3cDN5wqI0ZzrYNV9Hq2MvhjMnbAW7ShVAXoQvFvY
tv7KYRIqU70NUN6WHhhUbZicL3tc+BKL3TcY2bXGpn7Xkh2WqptlEfWsfSmFtvGhdqosxgbTnkPP
UQyFvkQRs5FteA/o1pG7ZmuDDqjStljzAodIsD1Av2RAkVAYhRdOjnIohgCTwkPDdNS93dnsl3xH
8b8cA4px4ZkZ1yl+MrvX8U0NDG659ioU+oYNVdm98bOL57Opnuly7OLFg5Yx5fJYNxBji0kEEI7n
0artaKxgc952eAKztjch6oWlXbusa7qkeSMCzGyBBqkwhNBMNpm2Qwlcl7Kq/gwRT3xd1x0nU7WO
NTkGZuj4+zlRpc6GhIdPHL9uda4IUL1rZqadXEC4bfiUbbLqYZShE8UKcHNp1qumBB4VZQMO7asd
kgIK874dvCwS3wQ8zjGc7giQc1EKWXRxs33ydJWs2Ge3P8+24u8ZhFR9BEoFbxSsBCa4blvst2dy
XkpQTbuLCCBigtN+zRMxw/vTNYFrjtxXVXOl9UaW82DCNtJhGry39zhhYUWI+72vjlTvQ3XrvWfL
WcB37Nmo9GHesS6K90O0Nn65SGoBUqurlFEXfDJWHRNdVtiCeCl77K2lfDcLtzePqlLbY8DQUh7L
RSX7xaqC8LPc2saAxQ+X5SwuPeDcqQcFO6VRXS/Rsd2rsDk3EO3rgxt2MhbTvG7kDfQOn9xQ1RlZ
eBpgLwlny4M0Eb7qcyBDhL9th1CPqZ/KAWiBHPj0lVadWo/Wotq5UCXF1LIlO2lyBcsSBw+xwrJh
2ohG95hs2xs4dQBFBURj5CynIOoWcFddF50L1InxUxPiu8n3BQkZMHPgKbmeQoeN2DCH6bZdVtfk
yRqE3VGaZaYF46Hs0i5WJj70VPHqzvZbvaKVAv1Q9G3YiVS6fu2KcFGlydudBlWh3MgAkpJ4wxPF
Jli0SEzshDu7diW6P61KoJrb5osZt6p6ZqFjoCyAFUxvd8F3dRWJuREXod0HksUDWNQ8Ziq5V/jJ
Wy+duFvdxEbwu6H9HA3J7i4iz7r+zdiy5YOpnAyO2CTkks7SwteyTcNMrh2m6GFhknXHQRgBq36i
y8ars87TcSnU4EyVVrwk5C2ocfU8jLQhRypK+QIvju4vMEBv7Q3MMwFuEr7f8CLp6BAfFmsrcusT
2+3nfrAjiu0QtFmCczZaT3YWXeNmzXOk5jRWToz5gkoNMDOp+hfSN8F4YXRZc6iv+6KXy3EPmiCf
G9gA4e3wOH2rbbXzTczs3KcMyKvBnlBXVUEWUUe3Y9+Q6nJqa4zJ+wbqW8Zd02AKX0LZROUTlmQA
c7IPrrxgtBf8/chDnJi9Lv0nXsYn0wwT78tga1jegFZ+CKco8fdBO6oho9sSfNUlGunDLs30GdYj
wA+12vaLXjQgTVjldtCzXpuMt3WFIT/HsJ0HQ8++DNPoy/d2aYdHILt1k+97o68l6Jcqi+BhxBzD
LmhgOFSFLwK2tvZ8CFXzQqfdBJmqdTQ+0jEE9RqJKlGX42CDpwAlljxfzah0Gu168GhRGhdfKrdW
eMSJ6x64msGndwtd7B0XtH7oo74aL0iX9N25GuY2SIfQiw9G7eaD1+XsD+hcTZnOUWjKXAg4GFIf
BRTgfMjXJY0BLkHviLWpzk5b1nA7+xhHL7V6IdlgPZqLDYQ67HTYT9K67SNMNXHo4LNNnU9Q+4/k
AYBwXWcB/vH7LqxQAtRdNM3XnKyxul+nWTV3obSKXrT7Pk9XPkCPYlMWG1ld6YCPn6KQJRBZZu3j
YlDoJPJq0LCkzTTZ1WGkcf1mQBsxw+g2buzAm72NMqihQ5v5yAZBYcwiDJQgv+GgGQ2n152qN3LZ
VOhhP6Ns6+TZZoSoMuu1n6++UTWur4XPdNXFaPD22PHuB4ImjulQHv8DdmZ3MsKOgtN3xk7wGphB
QJ3XsHuUJjj7t5jMRke7X8GIENooBSoV1yeqU78DLxK0Zz+yLtsWhdNFUs0lDFyBhi8SpFc8w+Wg
wFj+p5gL/Hv7U9xT+rj43lTnImkJ/13MhXdtJYEDsQ2E9H+FucBAUb6N27KEQfS/wlzqSuogr2MF
uAm9B7ro76De0E9Q+Va323eN7wCXcqNCWAXjaXquQJrff+Osy6HbweeQVUwZlROQZ9Eu/iOsy+sn
1oGDz2tIl8Chh2Y6h8WZ97A84yEqSDmaB50E4RMr8d0Vf2anm83D3POdkxa2n5Z01aa1KRUbuWOJ
MiIPWoNjctqMvv8nA70qiLqpncPuUW4sXLG+YRXI7VTDFhvWZXKnWavW7+izNUnS5mMdbF9UH099
qgBDXXcuRBOQRDuUvkTF8c13ntnHQx0cvlPM04BReyZja++WyONwX02IodS+Bi9NBSMCUDxWBcWf
aeVWQNo+Ly1CE4vvWDKpoRugS6r+gSSjvZILnJ4GHDL+cewsk+IJXOR/jR+LuEloapWs0V78QB4j
+K/GZL5ensnASJ194435DqdNNlnK78cyTp6dB/+Rry3HlyvixbwkVYBNr1W7mvOBltAi6DyDSPd8
+iytsboYXN28xGzcIF6TZXiYtVyfTB0Ot9L08CwGSzTfrlR5mNHHevqqLAuevFsM/LowOcFfCofs
mxHJDQ+RnhX6STIkDnykg+FploHD9hAvUZhy2FW3y7jcxscZQmyYN6QPL5ru5FP3fYl2nJal+GwW
7iGyNs1+GRsDzEI2Wl70bIqC1KAsgLEX5m5e4MBG9bEzJx8h4EHQFXLqn+OJN6eWVpEV9YkVMuOd
60jWV3b8PAFy3DIUYwQ7BZzmW9pEUMDSJI4Ngadp8zpNVq8+9csoz5FE4NssFtiuMzgt+rLYN6Xe
bE0I/HOdR9TOFg14k3t4uaYM5Y6rs4VgX72Qox/uaQJZw7UxDnwT1sm7tuLLO+fosKW2aqPCodgk
+bozNI9sHmQAfbn3X+paYOhvkgXV4Fh9rBsKiRBVX3sPqpEWPbIBLmJbVQfDQLWDOg3YklajLGHW
LuPlQ4KSrkTn27a3gxDyaYYw8aLLZTqjNGCugOA8zxkNkyA7tZwFrQ9VHLs4Y1IvtyMatXd77ftb
yG/l1RxtKkpN3ftnyiElHRKckhd7tSZforDpkwKUChsveatBA+9ju7+zYg4vKyXIdbCEegYL3+9f
glrgIYJyOz1W++qeRrcIaGZBu32U3QoamNoEQxL4MtordPk9+Jo2gq0lYv2CobXcp48Eo87o6BO2
vkioGfjXWrc+rL5jQCUQfungYwrlJz57PHiwAlgNdx0Ii3zX0/jMwYzuGVlK5lOIFzXBBrgk98yh
twURqt31ENQIAOA9iok09Enco7gW3EKLGs15v04KtbW3wxcRmuQ9rJkS82G/De+acFIPdIbMkRO+
DlOebGsC0LdpqQcaOw11rvgcYkrSNeXNvFnQt1w3bEzrXslnWdcqgWhUQuZgOzFvWVLrTxXqJ32y
CpzUC1jcv+7Mrg/AKu1jtKwKTyavv0K+xBZXYu425l5ye9WGu/o8YKCn0mgc4FLnirDzlvgWcKhR
zUNbTw5+r5Emb3nVoj1u9nIesfgANeVVKHpyiJLAAxWOFwC1SixMF9qQCMVvgxohc5rzL1tF5z1L
tBy+7FBB8KwuyU6zTp/I1ljUCpYtWzM8SmU3fU54vFL8fn68TvoIhkkKdT/Id9i4XbpT0owHUzYA
NoION6douVSocDqc5UHcUjxzMfVwMxJURd1MCJ5+O8g3CTr0hz3Uhqd4iMpPq7OzSgUKYYdpVyLR
tlEe3m5MRU+cnooyHGcuBmdAlihdABRO9OTiB8g0roGYM4GuzZxGZ3WVGnd6ZhmHxFcQ4sq9WOgI
lHV1SxPCiuMUPnPZREPe4ybOsKy5dstgR6UsZUPp43yNt2nDetF1UzQDWNyzGUauKRMc7cg1dv+Y
/oItODmGf+IdTmQfDMVQwGFIJYK+HoJi6BWRwfSFTkSxdse2jc53c8thKpn4Q0zaI93mAwa9xchF
XkmZBdFUOHIJne6GUJUbfsOgBiJ0LI8qd4j8uYfkaU/+RHGNVIBfDLpfD22/+Ql+8C28GrP/b/oW
/nwViUE6sE4QT+hqyQng+WGY32JvxKy/6wtqAn3dJqR8Ww39ePz3o+E/XSUGeAgICDEyHIM89mrC
Lftl8vM2DoWEyJI6AvbaCIwnfv8qVCB9WRDgs0h9+/mzYOTg0TAqRJaUGGyhBAIukdEZFpVffDV/
Wkr4OMhYitBDwe4Ce8nPF5oXUO0ltUOh/JikhBqV7XxYMqxk/otL/dWdk3CwMEKgKUkwvD99P77v
oYMFuHM1jcxDgDnoTQ/X6G9fhYX4hmDGh1sOnNYrTsWI2RPp5r7YR1M+AiZJbngSBId///285hwS
yKYxbhpE+QjpRa+xm3ZKOCV71BbR3O/vwsX6a2hUyblAm1GILlp+E/P5dr0TRQhKEXlI0WsaAZA+
RbXdFppZSEdbiwYGQNwvNpa//FSnoEFkBQi4oF59Qw5TfxBAvEVCQwikjAb6jEdg9OFTYWcaPOwv
Vvlpn/oRv8HCIwQfClg3FgaPXy2+Te897M9M5MPpdFs5vwlP7sQY7SOkl+BW1f0f8P5/jDHhkjBj
4dMhcCHmcI39vAjbhva1w3Q3H8emPBuDAVOOeYpyFir1i0/3+tECZIPPR5FUC+Amhq3s50sF077F
8eqiPKBSZdxowB8VFM/V97/64l4/Wgi1kvTkCUP8BOVYIz9fCkcYLED4uHlQ1pBkayvi3BqCVvnf
L/u/ug4HfY/liAcgOUWH/bjF9hsbK1k2PO8WxhCcgOJyXBP6C8bnz8uCIaCPS0BgwJVAr/58Fb1N
oCPAGeUYP7G3ONwTlPABHQ7wjnXPrleYmTEH0P13PxxDhgfIJUEJ/AHfaK0fz49ekHLZoFQik0of
oNSRcxPp+vD7V0HiGVjmEBi7PFkMf7yFTYuCI4FnNq+F9RdRA3Mpto/f3S++AW2nLZAh84Njy/35
KtHa1bSXLc89DhlMmkIEDbV2/cVZ+Hq/wFVAHyIKG24PODMo+/kqCLeIvJs1y2O7rxibleQAZwDc
sqyK8iFszN1v3zukl3D4NnicUERY/Xy9aDHRAv2b5aQn7mAD6d8m47p+/fdX+fPyg/nkRAPKKDrV
Wa92pX0EDA6dm0HRj+ltEyXs6CIzvStVEtztHeaQtYC/+her78+7xYlcxVaRAKHGBv/qXkpE0lW+
rxn2QrKnsoJGX3KkRCivt++X+iNh8O77Dvs9Iu/HvB3skf/4z//rk32AB8K4ipv4r11MfxV8/08/
0z/+gb97g+nfULVgS8dhBQTxmwH4795g5I4yHPiCAvKXCEXBc/KHN1j+jcKvhMdQMIG/LRMstj+8
wTBJoVaFE+m0X7Nvq/l3rMHfKOsfD1NkG8bohvGbRCE2F/Hq4VCh96ge9Ib+K8HxWUqId9oZA5dq
NLuslHawZ7bvr1C+uvONDuyxZhOsgDHRSCBbl6LV8/hsbD8UI3Lkrog11Q2NG3iItKIfkraeTwOO
Vl4hF3BLBWQ8bMXYhvUU2o97JGpkEMaIS8xsp3j9qRtV+G4djZVpGSqEX9VzQPq0Wgb3hDkMQEDk
jGGICHmEe0ye9HI2ImXrjmAICUdmHXc+nWvjKEhAPhZxFYQZRhXQrhJMVgKIW9VwfprVvbPtCCbP
dVUj0ykO/a3GxOBNNNShuhWjArSn9XIH7KyEa3FUQAuqyJlssVM3ZFGIQ4XGk3sEvoc4AtuSbJyp
vhB+7KE5kekC8ZGAAD2xH/YQKTSAWGT9rld7j1a71EjrqpfgHT4WIjUsM0i0KfXTuG7xATiPQzIQ
DpXMxrws6OAoWmh0r3bpm0zZKIYVM+FHhr7xycZIKDKOgDuwLkGpJ6cr/I8mK9HO3Vp4o9MZOsoB
ZBFckH5fishisLLiS8UoCFbLYopQPsF2m+SDZqCa0KIuBOVACZ+q7b4kE7INQF/hC0Y/kOJGQC5M
qncgJR5ag7YPU/hDm4QHqB/X01afJXt8S5b9AnXpXzEPXSPpgF9i5UWjwZX0GFEfACV8GPj2Zumx
XFCLYTS+HRIN3bAktkc2y+ALKE/rTRC6826nSbFbDVBCddnswxFwUbCnodjrQ+Ow9U2TQ+5LoA4r
2diVDEtM8XaTYYZRkFY9VuYNVPQn37ZXoGVpKuBxRXBNDLsspEuxkssaLra8GRubCgiYGPde8KF6
IV172Y+jvB+SICey+kiT5MPMAGdsmJhjwL3EHyCeAvuRm7xHS9FmYNsQQunGGiCF/djWi8boXuy3
avqAoWFzkAFMwU08KlxavWmrU8SPjNRp9P2I/I0qX0vav2n2U5Yjwkof48bjDEuy0UOuYoG+2evl
CA/sGd4uhF/Y5cZzOJII+FEQjAjP2zDTYRXLtN3We6Qy3XAbv2u2+EIPE8K6Pk3RrFNSL7AVJZ97
Zc+CGLZ5o+5E1Tx0NdQWrJpe5XOkr5zg1/Ar3XgE4A09PtLeHeJKncWbTy7gGtqv7ZiEZ4oPWE8F
HpxDKSuNZMd5vJ91PV+Pvr5ygbqWFskesXrrMT7fVZ2XsAJBMdGPwLuGTFJ9NbV4qJ1em2NNqvdB
MtzPdT0dwiD41JvxbIvZfFfVCgogH+7qNcIn/Tq09LrqenaMoNZiAmomrCMYEN4HrA9sAd/UehPB
OsxSkMH4vRayjA/oLyMO5o3sjxguyxzW4Vqm8AXP7+MqmZ9ImbhzKhfQSPVCkUi0t1BXUkoM0lkB
97rLEF/Dod+Fe8/IHr9ZEJVz8IgVsukEc3xuMfWHSogyEapssBSMJfiWEL56H5oNLmqQGECi6ql8
SPZmvFTSJx+RIKiuQmfrD2YYk0dfRet5FPIxn6V2V0ucdBjzK/MwgULpXPveB1OYbRF2rVSVo7+o
QtuDcY3lYaNR+KHRYrhMmqj+DIaDfQ2Mnp6BaUxFNcnpPGi7ZcksH/cPi6YGMGK0hmu2lchGAM+x
Vk+DS+gLjSsOHn1S9DqZ5TvWt2Oum2ScjyuE6zbVTQDLDpIhPgbjC++1POuEia56FVRdhnxMwDC1
mgpSTXMI6JNi3Xtaxsc4jJePO4JIQX6PQhVLHbOXlnMl04D27dWsuvaplcSkGLS62wCEy6OZYvYk
2Dhc7mBBX2qN9CrQ4jE5odIyfsa0jCyYenh+5WyMJ8nO/mOPYMkhQ2RMCH1vN+BX4GjQeQ04PQ3C
QRcK2TsgHCPH6xObiODepXM9DL1Nbz7LJOCXGJEiMcaUkaIpnfCQlVKUdYb0LvncI1bsPCxPE86y
2ue3DJwmxMexGq8krd8ClEfNq+UYR2lDcJ7kK50D6I0NsjBZOLR7Orfu6wBedgMtvQb5CP/lGZo3
PCMrq+SZVz3wDp6AJQd60wKiAhd9ZpCktxL6iCk4ogvAQxQIOOjf8C4or+OxbrvMwDByhnQOeJjG
qjrKyJhr0mn3FM5kOKhwFg9yHINjgEbpskQUwZdQzjMA4pkd2hExdgMqhFt45NORuv7tvGGDgBAf
fGW12DFVmav+TgvIlntdV2cxmZIvXPvywwD7KIIVBrOhUiiBvSJEsAcRBXcslM+BIDZwQpSE42KA
+QjUY+F09Olbcfb/q9Y/oir/max9stL/67L16uP/OrqPbWM//mjY/57l/YMJPyF/Q52KihO8q0Aq
PoNk9EO9GuOn4tTqUjAs/6xXCf0b/geHuCzgVcXkH7/KH/Uq3k4B//DJNwQA5fdybEj0utuB6A15
UzAYa1AvE4Rb/tQFV85CHsckJOeruEQoSQwukxkcrZjDIurZOgxrirmU7TNFjOLl/7lEISfbybAS
LVVw+JErJHWL0ghyE1WwjHSYfzQBYvvSKTEnn/ckMeOAtIu6l4hlw3xJG0mwS554wyHu+x1+53U/
HzchHJpqWKLSCHfovE6EkQjAtPMHgdiZMkfAwcyB6vuBHqIxMiSDyaIJTghp7vm8fm6AqB/NUpoZ
LN8rPHFz6/YYxztivnu2NFnQYdKcok8NXyA2L4//LaxI6A6zgG87RH7RWE0Xi6ka5H37DfyhC+JJ
Zj8wjJvW5iuwMefy7yDjit63xQaDmqoYk6AMLxAGF68XmI1W2/E72TiQsWQQ48vurlcENRdb2gkw
FRk6+LFKVwJF/0Y9Tg5F3Se7idFdenoK0vsGQI62ojvcLIj+jgfoFlffUcimc2V/hSgjaTJDEFSS
koX2mRx7YXMEmDokKrbcvmc24o8+VAKNBAkNzZGcFLybl7ndC1Qe6K+m+RQFJsK5tGfKgfZFqLDU
tuAGOifyoOvlZR/G7XmzXdkCUKI7TUvUK49dH/cSqgpbv6KSmDvwsmZ8CHXkUGQIoCwZmi9wYZgz
OWR+WnDvB+8cH7O9Qdb7yYICMsxsUezyPiTrJyPa5rtU91ub8v8L+WLft9eTP/Rfb8x/euXlP3f0
01/8u46ApGBkdQi8pCQmkAYEdti/78tICqZInODQijneDEggfP6hIwhko5yCUSAxJBLg8sn3+Me+
HP2NI18YL17gMSYf+DO/FTH2WtL7Nmj4YbDxSvz6rwcbf3m9H0YOJzHuB9H1vx45fM9z+EknQV4J
biWGpxgSYZzxSieBL8uRUTv4Hf2+t9fD6KP3DUfEf4ZMx/6xRYgrstLRP7/fdGfOYaeQ91AZp6+N
QwWfhYFHtCLA5xHdEJijD0xR+Ov2wK5gEUZLY7yqgQTPiWhabPdi7c4jeM+ivO7W6s7QXeFFEWWJ
6VoN7i/INHLSr0jpcfaNrsW7ImAWI+eBwBQ9m8qmvXVdgPD+bRFARzH5nvYCaVT6A/LC49OoH/m3
VmzJkpqyVPxQ9wGmhgpvtIBB286WHFgr3AOLA8AVYbfNC2DgdoVSwTbz3Nt1hRupMSefK9uoy5tu
qnWGo6XiV3G3lVMBPQBZ9NpGFGn2CHYcjnOzLmd8w+GARjbC4dXOiOU8KMxMaRo3p3cg2LjtYE4r
NxUGh22EYIqbRRAEBtoL3qlxJdHzyOn+MiYUaQ2lA+SUxLW5DkjX3A8BzsQThk0u3dbL7hgLDwPm
Jlxzi4hSW6f7zBZaBN51MRousz7GZvMCJbgcdYEEZ3kH4CpK0pDq/k27rvBuGcPoHRNwLx5g/qif
qr3UFd4hAGi748iJOg9CiHuwz1WgSZjsnwmsuLdm6+yeT9ClEM8vq8mcjc04i2woo+G+EppeD0Pf
d3Bw4B0IBwkIsyomQ2PkBpU78tAkgk47vNCAIQQbmDiWzmo6IJ04hlRzrm24IDAZiO12bsA5QksT
ZrVHuPjDl6CZS1WAtN0/xOPu96LZmLlia9f3eQhfFD96xH3VGTBWkMcxXhryMk04WYAxsQhL1Mry
EaR1/DmC2xDKBHgYfvLHBGdIBLEPJfo7+KmQpQxARjHaZDhmtzeOlW4qjKWNAvGMV3ZgcrXRSyIi
NFg+IHN7LOGdwRthARfzfPA972B8df/D3nkkx42u23ZEUMCb5kukZya96DoIkRTh3Q/zA5jNHcBt
3SGcib2FVKmKYlVJUafzIt49nWqUSCINzGf2XjuTGxeL55pljd3uQrpihIfKlOKu7Nif4qh0hILd
p1PXAOVCZRkbmPjQ/Ad1vZKFJ4OVpUnnc46/1/K1tKeV8LxaROtMM5q7uB5NuZ8oBXQ/zkIMr4qq
8F/oejqBBanh92kVS7ROoQp3Cacq4DpO3J3KanHgnYRI9MfQTu7dgnnLmtMKxQehBMRNUHGm2r4K
i0AF2ld5HkSxGDiEarWK31NBuGu1tJDWTe2kPqqmV0JATNqpvMA90g9LbZxGqibZYnVzWJE9jZzV
lxWr4W7t5nMTyKAGfo4V5sP+m3QfT7U6MupPBJBF9Q8B/9S1eEKLqYTc23jhdExszFH+NxV/xXCx
WDaVrZ7bXWsEBJt4g7n+JuhvrMooV8qAI131KqAbUGupuoJRj9F+nrT9hpN6xH8YevOFjTjTpKAZ
Zm1IqKMn87gLvH7T+qN8d7ExOwUEBFOEfJxTr0dAkDP9kIYjI+YRF/R9H0ACXiQR+p+lOrY9tYaC
20INp1FseWflfNs0Mr+UmKZ2qVe6TyiVGhgdiTkOV2nkZcNRTxOCE+pIS+V2ssLgvgtnYwBdZKfj
yio15IVdOLhi4aU4wRbS0+Js5Y40pH4jrcDbhDjyvkyeYz95XoGiR3N7vQVCFyCQtq0pUqnzeDHX
YxNiJ2By6xBNAWV2xcmMeg2DFvMqUXW3DqXlVTRZgVhgdVRflcKSl2Gtc2/tcXc/V7k070y7dhgF
jGmFxCxOVGNRcwe/aEVSPXuhylSZ02W4HVmXXWQI4R70mvcaOKMMFypgy5u8qnD4JN04HUTUldB8
zfEWqZLG2qxRLQvJolSfS60QJs4qPhdG7j0X2hC6Iw+YwTKekNdGX6yoNF+TsqoxkzMBI1EobrM9
zK7gpc+TsV7ZCNbxOFqq/Vg1WYwSyuzc80yxy8aHdN6ifkXcDl1c1QwA0RhD/RHms/RDdLIV52aq
Yv2XNS7knruROTa8xI5NoLZM8hT7jSIaN9k2iT4pi16W1mvn9T1mJxEW/MEyr9SzUjfeZt3CTWqN
SrLIsgztIcYXnhBulG4aylfQvCZPAj9HTHWtOHULaJsnt7qE3Kc3qzRp4ovcZmLl67CT70PiZD7b
puxnlXsOvC1Qqq8imPK3EedKyj1sLNtlnRr6Z7TA5VbzignTghUjdUqTOAfGPVgzBhEO/HmE60Nq
WmXs2F12lywUmNZDySgK7gNd8VWf/cz+f8YYcwz9+2GEYbLU+lmp/KccvD/2br/97vdq2frkgN1F
agCZ68etGyhBBDGkilH2ut/Qut+rZVJoTTLlmHp8B/n+Xi2Tuc3UY84HhBcExMnW/glJ8C+VeK6O
W5olwjwb+VAuh/3/YyUe2EQK6vflLzt7W6NZ4ML3LBztH8pfnuWTkuXjtDQtmVgEUmnj40AZjplN
6fM7nTsDV2+XwVPXotC8wtMC6r5wrOjVlrmcFlg6c0mtWvbeUkcHjfA7bLRmZVeo8LEduKyg1IRF
kN5HmI9tIArk3kwmjh2d0QT819IoWF8QiYTSAo8Wg9UmOh9LnYqRKC5GQZnMsmBr21k3rRxsl+HK
cmDDtnXayUWnQowN9a7dY7oRA2Iomm1/EkERLpsR8r/fmpner6mYvC9ll8b7ZKgbY2nlA87pLJpQ
+wvUcK3fxblIyTCY2+zWKOttlMAzQYsUMFyYDJC6chLeuAzqfHocbLvHTdnwfPYtyi7FF0Wu+IkE
IrxCXqlu8fdUw9rucs9awkQlV6E9hXK5ZjWxfLLQ5m7oIdQzgBYZsRpOw2xiGKTyypDBcrZe18nH
jK7vHsn3C2Yf7NFN1VhvTqRUKPJ0vbZWqhr0xKnUWkX6UowfwAU8Ey8725Bv+L+cW4WsDPyeah2S
Ehfl2YMh2wnuVZEGL1jFtVf2CzzuJ1HI2od7ER4UtCIlUBD4zPtBjaqaqLLAaxeVVdtf8Vcwjwfn
Ce+l7/AAXExuSCdiqoKnS1lmITVmWh65W+MJBD7FZsOxhUVKQDE8NVlHdRnZg2XtWUCCwCrwSQNT
VO0btJl2uqiHurtrpOKqjMlgEWKhLa27WvE0epFchxDSTXZ4wUmIED+eQvOmqGM92QwDEhE/UzSs
TKTD9deccZG2bSYbiC7KSZPUChNrno9yKrhVkxxeD3wM540BDp1emkYAlovovHfr6GxqK/uo6EH9
CJahhMus4dsvyzp/mErm7n4qDF51GUZJsB5bg3GOhrA0WGI2GAygE2O1MsrUWr/3qGVtYT8EMgX7
/rtPzYIFMEMokuDwzaxWdVQG2GAm5+rnjjWHyKq1UscuHg1dQiZ9b15rKKWuanTpYvHOwdaSTTYn
gNi4ETw7vdF1oP/YtP/ey5azZOBZOThquoySvE53wsJV7DtJJg/fzG1JozRHj+0KXSCMFpeO0Gk2
2FBHY9lPRhz5tmR9SqFtMdGdZP9oD0JealM7cAk4Tr3vYgNmhDeZ7BI9Q59jxdoUYJzIikWFz6jZ
wtY2DsUQGypa+Q5tNVKAoFolbegkvqI5wWPnBtiRmm7IcUnT19V+bMGaRved9rRpKEOqZZEWjr1w
8LrTLRqlPIfioj1jkS+eIlr+l1Et6FzfPcR+09X8AHpkrPPDzfWbMBtN6UmYbX4ca2OUtdIhEkiQ
N+RILo93wX5a9Av8+9fJ2esvDqb/4mAfZHJhCl1mSjlY+sW9Ytcvr+VX5brf57eiXevbX2H+Po7s
eXAg9poDO9kQkLE7v/d3kxqILxkxgsiiGlcv1xAbjN0AO2Mle2X6+vO39hfPKHReKKFAbznun5Tc
9TQpuVQz1vbBPUysnZ0sHecGuGGcXXh5usW++/MDzpO1P31xlORA9BAog/6ax1Tv3lyMw0E1Qz7L
cpXtvBcMmcq9eVm9jp/Flgike3b2Out8QqgulO1buP7F4Zn5/fTwH6ZgRhXrGJyrbBWfP5cbZ8WG
e/m52Jz9Srb8JxLpfIK+f58f9i6NCYEUkkK2Gq8AdG6GhXM8GH6yePvFG/rTWO/DcT6cmyQ4lcIM
cChoD8Zlc25c5NfxVTksxUW4oeRXKQ7IuFu6W+vx50f+yy/yXUH2obyx9LwAKc+B+2Ylz2kVllG+
LM77Y37/8wP99Uf57kgfThmqk6lNTT7KTiymfM1k8Eu6tzZheNZexzc/P9j8/b8v2k5f27tjfTg/
TERGGnlP2Sq7ZQwRwK1MgOL/4u71q4/uw7kRalFEziMHUW54lK3NnX1jP4Df+NV961dv5sO5oRGu
Enshx4nvYgBgK3bI0GhMKM6r6cytl6CCaEKZJkQLZTO5q+ablv4f7Sz+P+G3f3nNZy0QIQYfOrBv
+4q5Xfn7fYVPUGNcfMm/iD8y2P9YWcy/+70Jo2myVGxGqm5zXZ+2td9XFuYnwH26xarZY4TlzfTk
31YW4Nxn9LsHcAdPJasOHhi/rSwMIPCeRe4h2EXDQXJt/pMmDFXuh8sDKTUSSl4gzyX4ytaHM2ow
pWYw/SDRyOiuwIcQUVbWw7q3Z55Xmj06JgF/UsLXIt8glZp+P9Xmuk7q/JW5Z2YsqqAU2ayLAj9W
WkN0L4I0g0cTkROkD+bdNATyRTbjgBOzG3CPu1VWWvinMnMXTo6urRGsYMfCQLquGX0c6U+Ua1gK
w0ozavuCmOn6RuMKW2WxQ1id2bt6usT8kK+DzI36pSKDhVZPztoAhLUgy4l6H6YROvXCh87T+a4X
hUc3DIOZs2ePB8dD3enk/VUeCIqNPibUyYnDrZj0dtNUWnvkImvXfeTZF6KP9/nU7ywRPZJVeEQS
vtNQUUEFIVKuxYyoZM+Ti9yvz5nNV+D0GmV4GaR9XaNMN4gRo+GqAXK0/cICpBRE2Rc7pv4mnCnz
E7Bfi46RGhBMmW+9Pkc5HTwaqXpROf0zMCEIwBYinb7DQ+6hgSFL7jzqDbGecmPXqaACK92+w7Z4
3wuK2GAoN8AaoQu6xPu6ZM+GpXWmi5CwawJYGzy/7rRjfLxmwrbIRHuWauMxUqbP+EWegzb9gjH1
LW+eCItcV9N1m5uLRpUHl4WJJTYu9gFM1OuiVZjgo3p190XNMkdoRwCYKymZ1KrTUo36syguV3X/
ImN0PJqyArhyiapyPXXXYaD5Y5VsNQumtjns01zpEVSilS2iTZnhDIvTr3gMto3SLRtTPbZhf0Oo
zbrCs4T5NznatBejGPwQKpoARrJKcD2TRR059DmkTyluXvA9KD2BvrG7nsNvF2qbnzGku6pbeW4N
w53sp5d8TEG15LNMcKCqFmbDZ26ZX+v+TIt0UsLzgWkeEigfKfkaWBNpt61dvJbKEK2gJ0U3TG1L
7sG6F14iPIWgjAP1niaRLpHu7DJ3KmJvRLDDB5kcSdXJ79VCYCUN6wOroBwzthi+xmiaDhpMvxQn
uxTr3hqn26koOH9xSh10g48V4mEKNUTw6GJBbVzmg7gzZVPtXLOVLNur4b5qUT+SEqdhnR0jq7xm
MIf4scfv64Ovird1NysuI+smd8uRW2MB+rPQrPqc6Xt1BEZaoV5uowshY+OaWSedP9EwwcFlS7Ts
Dce+gsBJjCfuAvcyTeTMgJnaO4zS7kJK3Ti2/dj42DnrA6AI+wk9WBGtLXAVO2MMxVoa4efCKCOy
g1V52clc532l7Ve+MuRltRDb2Eu+jm6yT1Nvz7Bkrec84UIP5gs6Mkx8BhkpBJGx2BhxqXGK3daI
/C4JnXG44smHbFFjSkA3RWABZJj08nLEMs/fAAFIw9MNxW1ZqTbLnJ4TXGhgU1jzsyVeQBSpTDaB
ifd5LqK/OEHefw4YYl6LaqjjpR7E01ZVYvu2TaMqXNAh4rGv2rh8dqdQFMuhzPDhjgULML9OJtYI
OON195goTkNGNRJc34mso1HqDIDt3Bmdixy7sA4exe02E3DCvWvhKl45zqDeNcgnDi0qxocxbNVy
1TFrXYdw+8jMazlw0kBXqdIi1lBp5uGNWQ/OswnB5IsSW97XsbaYMYyMvT2lCS40pjjeIsNRxexA
K9xFHY9iKUUwHErCahDS1oG3BrMGr8m2ipeiDMTNNIyM+glFgqQaBW89IprJN1U08qxJosBj1CX6
OwvV8J1XOMFFHqhLL83aLSl13T4W3ZtQkXGyfRh0lpXOdMloPwAjEIDag+odEGgLrisgkx5oYQps
6SUIXW/HhCZYF73Zb0AyiU1tF/k2bCtxm7VDfl7kobMOOq96JvcNhUxVy/5mipr2ybRL+6mNMf87
ZlrCYSUMClaLYp+PgKf8hAkVLYpWTcecB8/ecyTrnYz14pmsPE5ogjccd6yJmy+88ah3QXiAxZfd
5CmZd3WXyAM2oLHywy7Jb7i5ZBuoduwdrTYqr7h/e/uQxW60CrTeuiCaqn8FD+HsU6Zhpk86lXtv
ZMK4hjsXHFI9AiSU2k3EvauWl3qgcr/uK1W5T6xsvIbtYG+TjPtFEyFtAKpkpIfMguPbQi/sWE9r
XHL2WC+HVu1vh7qlVh96gOLQIqZd0iXNSmcHcjlEE/u+MgEG6+TlGdG0kr25k9zoRis64Ga1etML
oyGYqAif3JqEcKuBDtK3sCwWdaY2ULuS/M4hGhVbTRcEt65eAa3Tmka5qd2yPOjSs5d6FXcPWVF6
YFm5NZyNUeY8CgQ5xjIRXs64qQnuUKaxy8ltKDyTq5yVSXkNOdQ5JE3bbiyet/gckGAbTkwMfWvt
PRdF08YbZK2QjGlqII8s+BI2i8qLMBy4f6aQPj67nai+gsaZ7I1hVuT5WhNuhZSNCBY7zkfhWcNr
BWwUCG1gq2+1p3foDQhX1Bhp7pTCaHeMx8iEh4wYEVgitWKjdIo4g0eE2In6p7hlu44fIEQcuwuD
JDuqLKNeA0OOX4rKjIqlE+vGBcRCZ804Jd6XhK+eu10aLGkN2i17QncVE9IukI9OI21qbnXgnhL4
q6hnEcdiQrzsrEi5IWWEbKhsgNLKLiZ9CUMvY7VrgrWbCSkvdgVTuI0q8dQVXrzTw7pdtm0s1kHa
izPC6M0zVY/KDbiC4SocYeuahRvdqGXAXDKy9Ds2iMNzPpE634fODk0d8FPjArxN8lDwZFgPnP6f
88A2hiXD2gDCW1fgzG2z6GYwykejge7H3HPVVOTOBQqFnsx6AIZ1MoSwwSJn9OOhjPGeDMtUBeXZ
NFuY3dVZ7wSHKdbP9IKoscqLqkMsFXmjunXTbNSWD7mKUFDksVVfk91MonAo9Eu7sUvSPQr92m16
56KHCYewXgztPRv66FuiyX8anHdKWZK9UJDSCPx9f/N/2uxf/1W08cuHzMfffvF7c2PSjNDVsA3B
aP9NDPu9ubE+YaZFJ/tNVnXKlfitudG0T0wRHXaj6LQMfpcm9w+dLG2NOicG4SHziG36B7auvxDK
sv5CD6YR+WHpGPR/HExxWUtk+l7CjVABPFtaWXGVDwg1Nk4+tSxGDISKc3RwPicZg+vx8V5Bpg0B
km0GoDo91Nk8fTBzRRt9unt+GjZaVK1gxCfxrCzod4E32JyObD5ZkMvJTRD1o0jaAxrnR6bc3MnW
ib7CgbeXTW274xJeimT3MPSjsmDwX210+kPdn3iq6+g4WLd7Jsdd1G5RG8uOhG/sk9LZgfEw3xqV
VciCvkfV/DArtX0ocH1gBJjUdZVILDdWL++i2muuwBx6u1Jvc2bMGQRdpHE4ZuzA1lA5VhmXPe+i
AlKbpcFxqGReL7tehvq31Kl/dEX975E5mpxkf39Z+V+bL+L9tvfbrGH+pe+XlI5akRggmn7Vnbew
bEW/X1LmJ5KWcCeyuJ1nre+l5+qn2Vh+IgGYNqc78+7fLinnE/9g4F7kqtdm8aP+T64pVrMf5gWo
zx02fKjckQFituH1vZ/2uqUouyyzjaUB6/F5Svvk0Ltd6S2kwumJyTi77PsS/qAVVOVGQPtAHGWX
DPoiGXYqJrKmWRUNxQHTRiwxTRYBRp99Mgiqy7OukdlVm/cEJdQnV01bIyODAji7bgIhjLdBierP
cYpTaOEIZOH+cHLrGDlar4RAebp/y01WfUSMSyiw+GSz2Qe2T/QSzQagge3ufVLp4RblSn+Io4md
lJydQ10aJbSF9vS5dFA8UWJ2B9SmECtn4xHXmP2gGmZ0j7bNLX2DKxUKHYYlefIuNW2aP4rZ0MTG
r1ui2JIrMpaGvVFUbBjEbIJK3AH4N2He6UGdDHo38orutdk4pc4WKj1wcFMZqdQp2wMxWcCyCyRZ
EUT53UTA0mXotV/lbMpST/4s9DLesg1i9SE/+bdCg7BJKFWHoGurlWU55o03YgXDIoPpy8mLsFmJ
2QoWEwKwVVmhYaoZhy0dOUHtdfni5XTPIVDosyx3Ehg4WEK7pZY26ZldUhwuNDXylqAHikOfzj0X
GrxoJfoMEFAJoPpROrlHbpHNJxtmBTG0iVF5K2GG7O4yBOli1DdeYzWbIWXCAg2QkiTPlqIcVzEO
GpT+DmliNRA10Q/owm25Aaxb7CClWi+1lxa3AXdXzLn6lzq0AL4HyhF1/NKGh4wztLoC8lrvI05i
9ny2dZ4hd/fhLW61UJx7EvWKi6poGzTaJZMY80Da+RaD3Hlh9tG1Z6Q7GBfTgkZzWuTedM7gZGVJ
43Iskse4IflAKao7EYXpukCOekv/XV4qYRZtXP7fymThfk3zqJv0rLwjPH74Bs2izs4EYrZN1KrG
m2HmoLiAkxbbsrbs5Ts+tIUk4OC6gX4VSuGsR2ljAzQ6NKihY7j7LjGmi3fE6N4ogucMLi4R2M5F
PIbjmQY9aTUmZbYujP5GTe2Aj1aHidqQWY4VFldhXu8JneNV63D4a7u804T0Vh0yQ+Jn26Vlv/XM
lzZl+1QQPaD0wrovsU0tQhduvOW1CQDXgC3doJFEbo6+EgBMrhRnerFSXSVTHLfk0h6YHy7cUteu
9aqqvpRpq+DZKrQt9Lgrbm8bV3EjaMmluZ7UultJzj4/0GAYRvgEFpoBRzqtIzadzAT5h1xsDC3u
NqYRb9mPNj776YWWTE8mCMdVTquH7z+G7tuD73Bw0eF8K1ZU79haS0/bpU4VvbpTiv5fm60ASaXF
n7XeZLLidlrOgMSN432tqeFOiELcumgVlm0WqquwrBBXTGaavdSFkrwIHewT8sx8WPP8NBoc2/kt
NsLyOkUsqq68nJaigRgLc114fqTo/Uqw3UQ/URElIY1CkOle3AQw2zb5EIPFzp/bcDwvez07tMzC
1oZkIBrRD4EFNpayb/VDQHnz2QYtv0RNm18LVSAFMBXNj7JqF6vek2VW+zykCBndEERjkDyOnplu
Uh3VGO2wvbdLlflnOe5bBwic3eIQN0sPp7aML0faBySBrJGRcUw7t2Hql0d17fe6jf29rKuzpo0e
pzyprioPdhiz0XHdIBJdsdH3fEHmzJ54IfO2GPRug4lkxT0wWlh1dYzwvm8gxMRbwn7OZapvSKq4
z6x2MfXBognHVWl3a6Vz0SKI8Swg4sxrs/qrNDpw8sFrbJ4hmfKlo+4hW9pLmUNAJCZpFafG3mzz
JWS/m3h0jyDZVg1c+4GZXkrKJWEdL4M7LEvlTSjiKavkHInsfAbBzKBl2HfdtrGwMWY6RDqL1Ldk
10/xNu3cK286jla9M5Jko1VEJY3tEhQ3iO58lXUoxwutPBvK6Syo2jPbVtZZnp/3TXSL5f7WCVju
chXiRtnVtFyh0T5Uot8xaxp9y/IuuD+v5miStKrtfQlh3rOUzyzhwdNbOAivpc60K6qvJOLFlaUY
Fw53JBPTDjqgPb6ZHaZndLPpXdXbV1MD4peBZ1GbRwQVFW9JPOe4k/Fywq0bElTtFX2jclUhP1jk
pv7c9/qjVcTXjtOD42ijfVwFOlDjDN+Lptq71iYACFgc+Ax3n7SXQarvchTwDSYZn9PzItKwaqb2
jk4sX4yasc9CJdw0DROhERp+B8oWYfeKpMx7GtF143AyQyKIFfJgevBEQElvcyPYMtg5c0Jt1olu
DGYBC2OeU0tyX5Z1I8H4FhUjEcQNV0TsPNE2nFcD+dyYZokOzE3GIaa2ogk5FImKWDnLH0Pc3Isk
5dSuO/Ead7sYaPZCw6dNxWIteBbdZwFDnziOXhq79ZZ2qqxyzmenKXdA+jjf6y0ugM2Y2lAf802j
pLM0V25mfbMd19i1Xy3gkEZvvFTAD7ddPp4bbUOiiXomCLNJ4j16q11qobYKmDghgDpyRAJSLnSz
QsOEeIy8zxYwWYm8X+tgAeK9IhkO+y3k7J7JuIqu02h9O452jE5uoIltSgF9oBvL7C4egyvsXHdW
386PKJMtCF3CFKu+0tgHvjZxtOAzcZ/BsG8MT1PfGofeZNGhojZfQxKzV3GCscBKzRXiotY3DaNb
QLO4G0wTkJ1Eaq43WR1giMoqm+mdwTxwEEw1NWy7u54fB5wQp+lGnzpnp/d1f4gs6PnoeWkV421k
M/X207o0P7tVoF10Noa6jdHZzdHJR/spYAhFjHtukbgum4AfhQr/gIus2uZ91Vxz77TxIpee9TSx
UTvzbHIKQtfKrGU4toQxYrU81g7WQD/rieEO8S8Y29G1xbLISDERXDhrYIMjW6LEvpehgwQ6cDyq
j6xyV0IDCOrrU2U9YvZSzE0DL6daTAraDaCsMvjajQX9lyW86Jnh23CpBfmAZsYZp/tYH52HMicb
aFFkUo1XWhb2F/bAH4fvZBeLwS1ZwcrQjfcoXXxG0OYZKS0oAp1RXJROwDS1zIt7SA1iJlEgDEaW
/RzXunjLOi3eFX037iNnsC4FIvRdbErUxWi01UUIYlQ4Xs3Kos4OwRRuqeLkbZe2zi6Lp/Yimfde
maFbS4EHYEEHrlDaUpc2a1cCJc1du3uYHBltrapm1yAlKnURpwdFTtmV15VjsiMEDNEamPvuzZmd
5dXsMQ9mt7lGAsTdqfv5T2/4YaU8917oXH/WGi7K7F//3f/YHf7+a9+bQ5a/JlQl3JDshmed7h/N
of1JQ2ZDzq+H6cR+z9HBfOyCzwFJZ2osMrDu/N4c2p/43zhSiTS0DR2Y4T9S9M76kB+UFkyBsDfb
mukQqoWt7sfWsJzC2NRniCTU1uAQtVQmQmuMRW/p1ebdZ3P57Y/+oBabBRU/HMvmHdHVYrgm5RLW
1I/HKswqr+MIu5amBNa6akEX60mQnxmCNDWXfZIv0dlvgjKWlA+DBrOORwO5FjYxQNa5lo+9H6kd
tyEd8Tuc+9h87TSh38dBO65+/mLnlvjH18onTGeo/oa9/CAO+QN7GccoOkVBSfVvYi8NOn+i4cGW
gX/78RNRzbhyMkfJVq0hklUSOBXBAvnu52/lo1qAL5eTDD0lcz+GdPOp9L7778uyArHFQcLwoQkf
s0Jf214IVGP78+P81UdGUjBKB83QUEjMr+OdpmwkEZFFGrxLNYynG7NznWM1Qhb/N44CfwcVBQgq
ppE/HgWhbz0GdZSvXMyJ5KKxfnBYcP/8IH+6KtDYa4xK5suS6ctHtpRWFzLlbpqtYKfHi8YQZ3Hv
3UXq+It09788jg5JbqZoQQeYdXLvPrJAKSNHJ/luNbCcwZBOKXLfpL+iJf5ZujW/nXeHmedD7w/j
hEnTdxyGBrJ60BB278eqe2odnnqFZn/FtXSTj6NNVTNQOvUsu3/+eQJm5BA/XE8OAwYkylz5OsKa
j8nmRpAmZuzg65G6iSEyOJkj7ZpgXDaSsqOs8oSo2iVcf4LdmJgO9bohGK/cdCKe+rNYqUmKCOLw
Xgm7GpgLHQXuH9ovHpnGaPtDhmrHrzSDhbDsapcVcSDpSscsDCnx9Ebi46FOk4wriE9eaSkZZXzm
k36Jn620F/YwuCjbh0I81kEkb5wosatd2oRkrJRCe/RkqdZLxnyz/q0bOyYWXZBAYicYkvq4rrvn
ptGacmnQSPeHnptSRCAIciJfZ298xTzaGQjxUNrHoI+bZgcYxpoZJLLpILYLyo3KhJayIPma0RxA
piJe64DQtz0B3SlpBCZyh6h23PlNJWrE6GIk6W900CSsJ7CjnycygQiDbsL+FkHQKggqSOvcYKJ9
xwOKZsXL+sOkDqhKvEFrLjF4IW0fiaDBtl/ogprFSaxLRdX7Z7YRmr6GrONRK6dRye3PY94mtFIi
B2J09ZZFo+uQpJdaKjdIB5aXU+fZsQbS/aVum7pZGmPgPrZonCEmKrGGmGakxaRIo9lnBIYTgAA9
VMnoHgZkfkEtL9RoEuWxP820x9N8u5pH3c1p6k00oxn7zmkaznCFyTiDK6bkgxzCr0YaqyHk4Hmq
nveTdZufBu4TLJt8ReEY7lO3o+1yGMFcO27IHszt4+6FqaRjbbSMDs5jzHY0KEXZvr5LYrLIDQZj
GiHsWMRserGCTYQzLm2MkbS1uo7nDoFVUC4DpNvuskYetvsW0ASWFSRCpnTN7SmlqeC7MnfYBOVt
riPthRv/94FNMZ6DQ5tUoHMm09ZiCkKpp+djVovXBIMZibfkK4GZqlr+ksUJexRC1YttzOrB8CMG
i8LXkrRvtqD7xSKTYT6uZKaKdqGiV40X06iBUuhm8yInhxrsGOkkla81ev+YI5OAs1ar2QU/zH1B
czN1GzFcVNZV4SnAteapJB9XdmMgVov9kfVQ5tuqBKJFbKejLvuxjd6KSShPwRixqtdkMz3FblEA
kXcNMRJYaivU+Skn374OGdzujaAlhBVDKRKGpjPgTIyGFQ3LzBTcGCgNsk2v4V5ZRlPSvOUGi6mF
muoAOMtS45bA8v9hYvvINV9gMvSHMOBoRpriBG+DqHwKvJHWwgTTHzDxExqNe+LC+u+UyU+HOX6S
LfaDjX3mPoxG5S7QE0PscLdiIh/tBEdCTYO/0cWIfqRhxFER90EAB5PM2fqMUAIbtPhmiT7Zo+2T
VTo72aYVp9KP2eylJo22cZG5hVisRT7bres8r6dlFBsFbHf82DQLFV73DJN2WpUtW+O+Mq+Jk8PG
bc6Obv1k7q5mn3c8zJZvFR3BlU2yECmCg/QuXTZVLL6woEP9ml3jwclAXhhqz9aq1FCcErIZXyAH
odDqUDYSjiToirOTIV1oZnRjzy71KTJpcMOgs7clKXJvxexnPz0i/lFb8b9DpTpXeT9ZN0Xly7/+
58/7pvm3vrcU9idVhbOMnBSygwdB44+WwpnBGSr/BnqNJ/5s0PsdqQEDCTrOXNfiDoZ+/ntLYXyi
z7CI/4bLAE/jH7YUhjNXlO8f9vwB2gmVBwT+CZ6IHypOy8swy1mVvrS0PFc24mR3GlWjuyvhRWCC
mv1QReBgMiKDTFwT2+tgmHJRizCfxkfFWABE9clc1Z+MVpboyiOvIXwABYRIqshHnlwkfWfjhUTT
ih5rrJQ5RAUPF+lUzPCySMXaFeWBoexFjqpsYVZueFBPRjAqAcVgraBpr2Y3BS8T1v1qQeZ29tC0
VEmLqSoUhYAPHGYsToY3iDfYzvKTBc2w1eoV1VFWry3StKtdrTN69ouUeTSZJW33IsOhp4pB4Egn
1du28E055Beh7pndmVDCiGlDnPLUjRWjvsL3ntWrnjnJ6xwxdFPhIs5OfuIIDzJ/4eQzlrPlmGTZ
SQFgYXjJ1lANtt39yaE8I1YYBJ+My/bsYS5mO3N0cjZPJ5ezO+OmfIP5AhSLhkch24asvcxP/miY
bu55fXJN6wTEPTonL3XiRQOD09lirUv0wc7Jd51+82DPdmzmVNGX+mTRPrm1AzB4YN5OLm7MQji6
tQpzd5f3tkW65+z5Bss63iqWWz4bVjkdipM7XJuN4srJMx4wu7lizZ4+QBVh/vZ/2Tuz5caxbMl+
EcIwH6AfSYCDSErUPLzAFAoF5uFgBr6+FxiZVcroW9mWz7deysoyM0IUCQL7bHdf3g/jQ3DJmVMt
Wn2vl/C5lYEWXqWXTDqXBP5SHkTmU7eE1s1YOmzxlih7lmTaj/CSby/0bLpNltD7kGjIDhSyqAdx
ScWPS0B+ylSy8uQj2/IOIxLP8/SSp2e3R7a+Cgxy9kYlxZvZav27oyYhFcbwjPL1eMnnM92S1e8v
uX3lkuEXlzx//yvcry5Bfyrqyfwbl/x/dmEBRBcuQHVhBADycN4GiiLHveGUpL06nsn3ThvM9Q5q
GZgBbIbLFbrQBzAgZYwcC5QgCxc+gdklncLuVYuCV9y5FL+5pWaGJArJH25kmFvZsaEOldBGbNJz
LJqZkuIxecMIHlYYG/++sFDLUrgGI1MVrHV6O32XBGK3dudRe1Wpu2Q/VeAhu3QZDiIQ+N+k9TFM
lOgNror7Fbypwbd8aTYkROcSlctc+HshlMVi/avlcFB67SZ1k3qpqKnsV7pJUtsL6JsLN26Q0RAX
6EXmG1mAkVKNl8fdCJpm6+SVdSUt7M2XOsScNnJnXUiEBM+ohvj+92bEIohb4cMs1J/yWtCnHTeT
hS5yKUlMUj1mPW0Z+gc/hnBs27r871AvfYnzpITFuumDkU6nr62JblhCtpJtz4a0sXvmc4ZBpDQs
a+pLo0t7uA1AEZTGbC4R1NotufPknPb0xnqaI7tPPUZVGokTkZo/DCNV5JUthkZbBwa1SQejpKSY
W9tgbhp2IB8W8AkSyV9KF9t0sMQ+7RTuP/nQYZRLElo+qzg2HwsgGLRNlVwxNpuWv/YxgvG0eq9G
THO8Sbe5iyVVzHacSon3r/2Mil1przP+rgpBZeEMgBZlUPzV1+goiYKfhQLO7hDgRah8vaGiSJRS
kX414ASnrKw09H0t5nrTmhb9mmmOdj+pySanjef+t2JH0WBzm7Ns+FXu6FgWRZdG0C9AWGLC4DeK
kiaecdCST12O+bhmD2DfaGWpP0ijye/0S+VjUEX6lV6VMvtV+diY+iRXqpJpt196HzF/VxZ72sR6
NFVqvFbcZySluUaFWoocEJwzZ3h1uRyv26LlRwVODcJv6YYUlvNCP4WyHVrXfmmFqlxBj4w9c6id
uy89kYQ43ZBAswqXk79iuP1SGWm1Tlse8wHq6poYMqwb7uvOVd5N9PHUfLnpff93h2Rt1vKptKrk
rHHkxwo6tAPm65Iez2iyRk8vbfOHq2f5DSYE5ss+SqcbHNbNKU80leYgV0lum7jkQjFahahv6Rj5
C1uQdDH0EgWetaZ+NcbZPvFhRYeqHKk5X9LDxZIjtpZE8XwJF6e1VB5ms8EqIi/x4/oSRY4vseRW
7fq79BJWHi7BZRZ/hJhj0Zj3zSXa3C4p5+gSeK4u4edkyUH/d6T8D8EnJsC/GSnfm/fivf78f4dK
nT/3x1Bpu99oJeFubF2Yahfz358mJvJQaDYcpRDmWIt94bTZ36gfQiAi8WRAaqNC4F9DpfmNvdnC
neBPgX2zNeOfmJhYafw+VOqAM5lsdUorYL5fllxfllhx59hNNdPTaLXahxyU/EwvWH22tMCacdY3
JYdaJbRf7Sk2N1CAkmPlwL3Vw1L+VMKYdbLTE73x9FER51hp1cOcFM3GzE3npPShwfg0zAsFoou1
XW5G5HuQio8ii1okOoIzWgjYniNijECn1RZWgYKA1Saae+Oeinb2GnncP4aN0eOUoSnRTxQy49eT
0gebsEjbYDupvXKnmLSkEvDgueO1c+tep3VvUPoM/VddaZnLl7LoUNn5OptAAkbFdFclOf+HaW7x
iDjRWHY+yZTuiY5O02+phfw5Rjo/Q5TzNTGEZKPm9ki5mdJiwi0SmpUWqwik89wWLzbG921Oj9ta
GuM5iu3HjBcELSudkk0BNs0GQm8kcm1NpXVyNKn5Pepzs2mMoer3E1dPRAuy0iWvbcEzcqVWZeBy
9tfUEhq4W53sVNN3/CLZWW+K+cM0KNgzsoj1CLwAdx/3fVFeJU3aPMxh03yWTFo2OIY5tNcxFo+b
NNTxEyw0KfJAqW1/17BdF/wKadzc6WYrXtqhKu7tvDIfhtplHKjruuMYb2jNLsUlGj9yfzOClYWG
8ZzJ5nmka+KqKAbKK3OjgrFgJgJHpt1L+z0DkbYr2EPtEn1khnYcmBrwfab5LTKVdBeYNFgDzhFb
sMr1KRU9dvBRSsqnuW3+UKTrvGK7alZlPunHxGxnTzT9EePATHef0jFyGb2zMehXT1amrVv3VSba
2zzj/bATe/R7S+qbuTXVJ4Z4JHlXlc9JHBHmD0HbPQbhQBN5PplX7AD6tWrK+SGKJRw4QGkK2aWA
Rzoyq/DEPOTULyYKdL45kEea6DUbFrbFpWHS0kxJXLWKw2r2gaDB2gt2aqFdaS57D5rgxbYEr3k2
w9y+RRiuN0UWsSFh9FJ8EKJg88SQik2PK5dRdjz347AtkaL9EpgHAbqsTDaGIYKtOjfhvlXz5q5N
SpuIWT/yqQysc/l8NtqwKO+WLuU1ux3t+2iPRu8n05xC9qinW+xgMbypVItoa9CGrXTi4kjAo72r
ujLE8wt6b2kXtHHYaeGwmRt93tbF2PlR6KRiKYaeTinJE9T7ytrjAsEmMbV1uXUhxNOnQLO6IfV8
Q6qy29r4ulC+2s7X1Ky46ioMX66MjLMbUUacTBbRJYfu+M9oYgk5SJrsI2duPhrIaL7bG3zOXIlu
pz9BHYvXmtSpJnBcaWyGRu82qTnjUSGYQaFe6GXg0krDDJbwWrYxsunHGDbAYdWqPoWqseu7/H3K
RXOgDDW/z+xEfkdQyc41Y0VTi+q6SLg70kNByTQ3GLMf1+Be+O646NlMRh3Ldz9tWdBurFmhEHax
47Nqp/syvxtJeN6V+WjcA+qdDnHdmjc1yLumHzW6PmXPN4yog3XCogCQJu5x2XSOWhxCmkIDLxys
Jys3q+Osqco5chR5AMiaPVS66D5rqxe+gMX7HtPGtI+EcI4ODaanKswG7nem2IOPw40C5YvkaMHA
tdQbkzMgTssVFtrw1mm/hJ8o8ZdhTiBpYGZspGgcfAg7o7wzpINXr1zKqfPReWdeqddUGeZ+P8p1
MVmPSfzptCMllEM9PoU9buydXrG2IjISRhvXmukyLOPMOUqBx1Or5S6IcvsIs0fJ9jD3Wa91opiu
5djUuZdbKtnVEEpuDOPFABAIn2OxEQV43QA6Xmlgfr5POXMqBWhYbLigsXS3Af/cYxCyXqbMCt/C
dm4+R42i2C1kD3HScxfoWDcmJH6S4aFKHPMOQ0LAq8Lsyea+aNwtiwXiOAyFEMCyZG62szHLg5rY
0c+cCVOyMhHRNhujCJJQR0lkG6sw7Oe5cEAPz5vWUJ7G9iaSeqFs4yGfWfIpcfDZ4m67jTQLMEkU
2XdJnQcsPA0OwnMWtp8yRnjZAQiCUUzkkkISiu2dvdY4XbsvJrN/03jarTOa0s651ua7WQWLwVJk
PmDDvJk4yjRa/RilzplmjfPAOfxqiOptlNnXIvwZVuJl1vjNJg1f6iB77pgs4cP1oBJhdS254iD7
yjJJ+kihA1ZgV3lLZB34mZqG/RrDyvafT4f/GzzuOIYZyv5uOsx+vDdfZ8Nff+LPZaP5jYcS3YKQ
xxYr+jL8/TkXWt9cXceqjr3dxF6+oH3/FYbHcM5AiBq8+BuoA/oyF9LeBoxLOHghuITsfzQXOtbS
9fbXZSONaCb9RBbsWx39mX//dS4ccJGT9lC9LJU6lzbQH/Z6/doJZf6Ajgxu1eo/ZnC0GyWOax81
yvF02upuhcgjjE5hsGPz+INyen3fOabkhJpTwcx9xmNk2Lc5JfJRUw1+qdSOb8cli49s3EMPc9dq
WtUkAk2QiX3AogCTFNxIt13PeATNEVsWdFDtiqW5tVKibEaIcHYlysyWDo6fWRrzlDfmetsACl9j
8EbmU7jbCvFUjwQqY5ncDxnytmOG86tmD8ZqapxrzL8bIFcvqYJNGHloXNOL+zICA2IocV/tZjxG
RXDQyu5NZNopat3DJGgHtirMtmOyM7t2B9zyDv8Sw1MXrqMEMYnIcQtBMj/CIHzraPNRg/KpKLn3
KeQrB42zb6ZN9zBKOYyzcPJDnH3rMXG+Ty7bGHCueyQ434ycZ8Qz/BJQQsjDmPwfbr4mJFzEQlpU
CLp4WWS8kyfWSMUIXh/ZuVm27WasUFir+pZP6+w0xGQrWKR0KB/NvvgB8GxDfHLXVVbm2y32TjXS
T0hHFapqs3MHAskyGT6T1oFpk4U5Z2QO6ZSQUWPDtg6uUkimUytrwrv6vrCswavYEa6moCZZzeAI
QXWKzmGWPXFgf5JYB01XfddGMTGq4ciXw4xk7Jp+F1TOpir765G0Esjk4UVE9W0eWdbOEcUVYbfI
V9Lwh9a5midyFr3qEBxr1bkBforF1kzVnRjLG0Q9AJ4uq5tsLFdcsMYmtY0XEcIlsMz5PGYRFDC1
b3cCd+bW0p3shzZhRtaK4KEpRLlt6uEkBuMqEaLgGZxe10VxSK0xXvWj2m6HJalpD+ZOH4hn9gu8
Jak3DeifNfxm7RFl+6Uq2XeaQ+AQJ+Vkki7JT0rriy1ld+p7V0Szz9kLA1s6i1dRNcOhDHqFldY0
r2HnNt4UElbvGCSQ00mVcrApj1YfZHsaKYt136cv9qTluwIaG50docrV48DacmBXWXlhe4pw0nep
5SYt0XHv8Vht1k1pz09Vw3Q2qodkyt8G+mvaKDzGNV+xZHlIj3F9owbzeB0lxVtTmu88at5SEZJq
kDO5jaKBYTaJ26w1rl01fa4VhjOXpuKxDt+gBx/ZReP9E8pVMZOmzkuYqSGXSd66b3xrbwdTd1cx
IwRDgocZX13FWOIppabCJlrct46yVc2R7WsoMYQGk68tTlMpPss28VOTKwuWBkCZnNGqMHapQpIh
qVi9Yn1iMFGCn1JvvkdKcp06eJx6vuJ8wu1BLrEThGIe1E3+FnbDBzYyNMWi5KAbR81dpL0Gzkkv
Xju+e85jYheuV9bBOreiPUMyPIG59hVgYyKO7kBaMw31nuHSAw+g9Ew9EWfdwh+HZQMbHrA2qfM9
SmG+LgclWU/qCOvAeOwVdTsEUAu1hsSC2Gntd0UvT3oDPsL8MBoM40U2xSsH86M3I7NwjDD4brUF
p2Qtkuz4dPho6YI+kt2jVUJLQxBGFLJuh1jxFZsdIPe1nksu2lEmdVBLQjdWmLL9Gvh9LeWNjLfk
mxC+5DS1qJ32HlP40PXXgZach9zAY7kE/gKqfJE+X1VBWaxT69fBRNRaTNUxNxtk7+9GYu4t2WaM
zfKqiQfeEWfBEq5YyqML5YHc1Mmuw3rAKWj6GWVYSe22bLasyvya7T+7xnhjuWAV5nQrcE4ngWpf
9am+Y1EHA1eeBhyyKxAkrF7pO5uaYh0P8RZBy2nAKeDWrWxm/oClQQ9zccIOTSJ912REXaIZep+u
VsVZX2zUBs6CdC6w51C9ppWT4rFfoRaCjMUOOYiAoo3bU09poBmV7BbQc+upWXLbxhAc5wAfSWmW
KEmBF2jFfVriiunkYjz3VFlvJlX1kpkxMlOhCXRjuy2SaJMG07U6cyLp65+seqF25/NTqRFMmpoP
IwkTDw8yExud06tyRryJnTspSyIntabuSHedEaC3XURrDmCEa94lztBokR5Q74PJowzGs3wuQmKM
Ti29Xi/zta0IPmi0+IE53uQsZxnx7TR2z5NebbCHM1tPUnDXGqQXjoyKOLXmI8D3k8FmdzVietua
jTJwnWGhvbjG+4DVrDqAxQ37eQuvO/Lg3bPgrjjIwUdgJZNmm1LKF+nyzLZttdmkcfc2myWnAJUX
nUoTX0191Edj5+bYPtRc44GYngtb7/xUBA+ziO8Uw+LO0bAryfTsuXSiH67LClzUOG75uzbwwDLf
7JrvJDdXna4AFtYPFWAHdbE10Hu1Ctvuts67jTpbe9foWMGGW5It7VW23AepB3tCF6CnMIkVT1cD
SMQdq4ShH1nPTNl12cjZlxxF8UgPxJ2U6hkjpL5p64GG+9hO7g34FkSIEKoI+Gce2qey7WuCWooa
Y4a2rtV4OrpdBn04+9EWhrGR/YynPOF4brKA2owoPewYxqX4G4SNwM+TUv02NRMhqKo3cO1k7Rrj
x2vaMBGYdmETyFGIiGjw60ba+3Z6lu40usCuQK22QK/MesM5cNoDHD3jJM/WgyRC0hf2tpPLeaCy
kGNUlUdIXVXeNNb6vl2KQQ1CU8fJMNoVJ4K30OqNjV2UL5atUC7CnLdu1TpBLFGiCcvuQtSJ57dw
SHib83Aj9DL1OazuoE74TjhFqz7J/byJt0qiEweLr1LOJblt8MztjA8SLUiuY7ObHUEaEE7USneh
sMN872G5kuMXPGRWupASTihY7GYSdwV5iH0g5ueCGPB5bvtzFgK2IUzwyQafWi3p0jypF0/cMt4H
OwErkmDymrt8N7jGAzj5YgPYlMstjuMtfvTjNMXnxBUfCsr3Q97qs9fzVfP7OGFX2DBaGQnVCByQ
JemDnvOgpnr06KT+PFgso9ho0UK5BJm54Nohr77bo7nTbG4kIdYXBmAkFQChKFZKUviqWtzNxfwI
buPs9tF2GibPisJDHqaxT3njDwaJbifa4d6oGpWCTKPeopCcjXo8u+3Qwx+noFDtACYNXUQTgj1L
r8bvlkHS2pTx2G2Ao+9Il2OVY7HkK3rMQLKIgCTTbkkXcu0G7XNBflFW7jX4l4dkJvQ91/vMFA9D
AZa2YYS3mm6v1hYXKpcmtRQ27W2tfpcnbCKdoXTWaW81XmiVN7S6Y5d3xcYVza3DcpRqwFI/VZal
XLlj/gLAR7KY4blsU1lk18Mq63h3xtHNvSae3hZW/bGuQUuooUYLXjydERSPLG6jjaE4zlXQ6dEu
1ch6si6NV24WdF5qQFYQtXzRc/jfIo6dFQvq60KmO6PGOGebPF8D+hwDqLIUNLZbe+JxpzSvsZBH
FDioVtEz1wA2wDnXtqzVD/kU/GzV7LGMeDLVzJI9vIo+t6gR763PEF7Fqg21U8VTZI2pgvGiig6d
2ZQ3fMawnUY38MUULxCWcWeDRKEwYr6zAguL2Dz/HLS+IEjR+km2dGOULvwgvtiubv8gYL9lWflu
mdGwNAC4K2HBlKl7CnaE9oGvgKAZ31c6DfnMQI/7yIw+dQn3Jhi3gJhGHOZi25XKrosQRAVkpimZ
72olYdWtaNZaki4cIpe/uBPrZhlK6uqsRfFNp7YFN8rizXVGZ5VVJOziEPi/1pBoTMLQ9mxgJT5P
NcPDCA5mQ3Efs6m4s5p2gw5+FD3fyrw7IOyOnq1V3pC4V9LJ3jJk5UKr72EJnag+fqjY6K8IdqMh
QmLJpdN4dmjcFCMVd06C88zWx59V4xi+nANf1shgOKoPlsGCV9HZvWehtnYH471MKvb6Rngyrfhu
Iu5PoInCgHLR6ote1F40RALpfOTyLjl0aWxp9MzEEyqbhKEiZgtZOx+aCfSo0Fxwu3XHxS7aGigH
CB7UScptBde+otDjmozx/IwmLfj0yzMPvLu6+++O5H/GB7KkQFX62zXJ6T388Z59Fu9fNyX/+nN/
LkuMb5aNRiWwp5P1X5iCf+5KzG+Qo0yNCP6/GAH/ZmsYJhw//j2pf3Q2jPN/gACcbzQp4/TCL22i
56In/xMNTf/dl0WYxEKvo9bFwOWBJeivqxKZwyAiD5vSJwramy9kYF2JnjlImd41mrVmc+/ArKtU
49EIn5pio1NMrNQAlcPkkOMFavlSFtVtGNxiTNnbsUG87HpKcEBCJeskKOPRr4TYfNlHnX/tcv4a
HFl2OF93PJgGeIcWhCIMEg3P219fuBm2cKyo6cPBDS5rF2KgUlcCbeyt6BMg5HiNVBjdfL9ol5dO
pG9jxsBPodb2Gyt33YLFJzkbKBE8AFH3nIREYgb1FmMSMTe9NOocv6w5PKQAC8trTa/yiAIepM17
kQ0OXRVK2xNSCe3prqHX113JVCga48HYb/sG0tNpYLDvUdVHzjtdjybmDbYKJ56CFOXnNPXT7TJg
fZjkSW7UrK3pO01Fvm9iF79rFFnpxnBC7PCsw62Hyoqp5ZBFH837yUzkZxzJFM0+06xrJgOTXmfJ
R+1NFKDROly20SNvYNEv1UQcOXuRqNJHdFwYbXZdDmuyGeND3yiBwzOoTM7NqGgaon5WbpQ6NtFO
U4vAOGxjt1ibLXx8v9c0yPOQC3Awd5eCt+zS9cYxSffoP2ZN4KJWvdhRXT+1BRz2q0iL3dqrdDtj
vRBOtxPmC9WLh6g1VqT8uKPWMx1S5NuUlv16ruuM6jZtQxxg6o7u2sniYDg7dvxdySsMJl1QtLd6
ObgPc9vNb3RtmE95lVtEP6KKeHZS4PjDut+X51id5GuB0Qa2e+XIjxTMVQNAbLAcPCtDUONfbWOx
Gi1yfocxqoZ5zRcvE1iIiJdjfQaZtAWPGUQ7XeUW79vou+GmvwBihgssxr2AY9w2AnkvLlSZSKFt
b2VcaDPsQpOX4cKgKWalyqFjUKC7pjERe7bWLP9hkaGO+boO7Plgk8mVL+7iemdewQCviMUM3yy+
ePNikTcvdnkEU7VfjW1e4/zqB+e1upjrq8Vnb18c9xfzfRMNJr61X6Z8+hZ/SpQg1gwX2z4OkBD8
xeLm5zWpCI49x+JpcfvXF+O/XRQjRvVLIMBZsgFsARb4ZO10x/YSHrCXHIF7iRQkS7hgSRlACIxd
rDqF+zheYgglJxQ2M5d4gutUWKHwc6smSs4SYciNvtiZl2CDewk5lJfAg7iEHxguCUIYds5I514C
Ejqf+WtwiU0giAv2a0uYomYT80sK+Bj/T/hZ/k83mN951MuNEezRBd5KQu336BKiYp6G5pz60CyE
vqZVkQuFuWbcC+wzMCZWtv/397QlDPX1jvb7T/zNIqtDhiRlOqU++9EJ0CXolB9B/P+7cf6+G19+
iovr11n24nh/l1fxZTduaHgRCF6kvv5WTxtJCTXsTb4CwqsKP1lhvrv8Vv81cX8hcfFkVxEa+MD+
s6byFH9E7z/+Mir8+4/9MSvY4tsydRjUG9o6xbBfg6HQtgQqqbs8rNFPljnij2EBww1eGvPiq9E0
zVku1T+GBf2bgOvFNewISmKYF8Q/GRZ+CSdfL1HiiKaFKxzizDKAOL9NCxHswKLl/OctwS0vSRKq
RiipMm+mbKY7hIGGNSi4uKzS6f5wO7vdTFoBAXHU7L1tWeaNbDHlpH1krnvog56ia4zUUWetE6rT
vK6f4lMdtsU+LMxUwS6N3QIOSvmosbhZm332GFlOtYPYwUYcTF3AbSnIg5t51ryBS97wOysmHBMV
oXmGvJPQIs3bwwFswY7QgmBS96wNGp4bRVgv+tgg1kRE3Nbt1COlKFlgPlRAwzaBk4urmTTItqLP
2m841m9p5MpO7oSdwhOT4tCWqoanCZ3z3q0yQjdurj1XU/Sq0TKKygkFQOARfG44bu5l3EfFyg6V
6NMZEnVbxWkPdmDkHGmJKfAUJWxumjKe11OScQa2WtXmOO4GyMWdXe2MzOxOaqniKjWN1Le63kV+
jrTusQxFSIudWcwPSVCyyGTJBTfYvhEgCNG024TugMRpn5sWlwDLiHar5Ea5c5K+v2crNRok3wpK
2FxdIVDvIke5i21qFXZz8pIgXLx0XQYNkLOTQWyrHosr8MzZru0FAtBctYsrto9wcBL8MjkTcZya
mto9qbpUfX4WK1yynxryPEycFIrlUxNX0UmMeuyiF5TdCZ8GoV96FB6MDH6sVKfMxIAUqZ9WXt4E
SogDIdAUyyd6AhGC5cFVQKwVlEhmbWJHSe/iKD+Rmxb1igU8KIhZVPUHzNoewK9dHhH25istiViT
zqUMX4aqdHdtHGXbWq/eymDEG6QM8oh+NKtrbFbBcUAD2IRqwdTnpGOwafWEkzyXKRSTsrP3pNAa
lvqRJsGTxpV2tIOcsQWXfsGjsJ3wnONvOVR2Ej0iPfWIY+wr2Hlly4K560aWYXBTV509ZptWHbtj
ps3aDjNYcctSet4YcI3pSQOFsxFJzTgdKpIrIzDhL+tDUcMEbtrYG6aat43Km0c5DPXOCniQbztl
UreK2/UcZCdcDVDt6QkyDDYKSTomhA+caWvC53VgkjgZBWdDA0fD6OBvm+Bv9DyB5FGTcyLrGKc4
h0eWI3c5M9gNSxFUM3fWtXd1sTkTxCwC1E6n2GIoCK4tPcVXU/Zh+ObGobxWyNQdMqsv+WdRmWD9
XvQ2WYz5ir9eu8XZNPskNMYTKF6rWcfIx3QW2IWPPBI99jXbikDJo45lYoftXujM7VTHpp/MSPmJ
JX5Ij4Lo1aOeYjKGr9c5ntXNA8WdXfasTsPwMy5Z7K5agXFF9iBIajccFh2Nn1SC5RopWgSPvDZG
OA2rsKF1knRk/RDWub4OTEfeD30xMsWzQz82RkrGOCgD7VBgXrrprbn+bplj92RXnRrRQKPlHl/n
yPInXsw50K1yk3Vjja2igsWMleYNd3a+t2Lc3csCM4s95vD8IywRD9lXwuFaK0mClmrUiG3HCiz7
fGXWBUcxMwvFk6HyxqR2j++coALUn5Se5qdhFPY+kEl55UKs6leo1s6qVewRjWmY8ZFZ/HLx0DVk
V4L4leuQGAq5WHsnSNN8z/rGQAQo2ZS1lhVeG25okM5Ngln3pipODnoFROamUS53MiUj6NEoZEDc
2D2khPa2RDFAzs9DfaWwtSv8qaM5yZuF3lFak5kbaxiVxynhLGZEbvzWN/SAZ3mlbfi9p0dddsN8
F00ZAFdov/uURr10pQOFwkZlatVt2XXJOelRhVk0G+C7tZG2hB4E1JqkgLtteftX4HDqR2LvwZOZ
1223sTsF/HiAUQVCb5Z9dwY8zoeC1AtB2ziw7suKIPTaQT/seKJJO0GSZm2ytgxU7Q383vnZbSoS
EnWW2K9z4qAssIt2AhSjYnpH6QywILmTvdQcAW32CJYa102iRs6+w0QIbIcIqNw77gxqKQhu3KWJ
EEOTEa9sUSv7sVbLQ1h0QNCTKRJIY0Q6BA874v+jSu0VpX/KvJNa5FS3DZWDLxrW9CunVbnWLNOp
+lWeTW6MPXM0znUD5QkIv37I+4CFbtURkQaYH8V3XTOCfEllOJTIgPVc+k5P/HdVTaln9LrWEY3S
lhWADtR+xaNlDRBWe+j0S0tV0NQv0qnizCucsejWOl/LldJkBoqdBu+PJWbI2dLsavIaDXLCiUaX
9l5VquZQDqrxXZ/LQjvMBfdKLxmEMm4Dq5zSLS4l+5nzQtTC9NLCqzGontuuqp6HqdEDygrqOn7U
FycnJ4ZWrjiZY/Cc2Kk8RJ2b3+vg517yIAqbu6oy2wIMQG1/h2/AL0FmBxkgWTyk+sVOOqQV9jij
depPwzXqB2kFWXkV1a6zn3MKOr2wN7o3vTSnjwg4+XlilQyTZq5Ok5FgZ50v1taxKVguj93QJK+S
Dy7ycaKW/T6REkOj0HDIZn1gniqyuHJNgyyyEI2vYJzkBGsBp3EdVVeWVZRWc5NkFI+6mBwcnVBV
juLS9Zm1Q29Gbam0biSaoukPi4B2Ct15kU4asRsEtHaGyOLgary6RrXjbYL68RpmVnNM3KyheqBB
BZ14KF8pdmodq75V1xZvvVfUbQpOtOjew7FRV67onEed0aOqemWnJC7ulrwrDlMasYlmfFk7LfuU
9STLErtJlJTrXK/nzypFefvnx4X/DRYsHfQnK6v/fF6gPfi9fseH9XW5+Mef+nO1aH3D9U5qbsnd
f9kr2t8IKVpL1bSu/V5IYtlLiZXj4r1mhDd4CX8cFfB0LfXpLv5KPFrwWP7JSYH+698Os45qYeei
yp3XZwrVJFXw9ZjpVqZrC3qzvUTk57lCDUYbsq/AhZ86SrR8Bpof5cTNZHLtaBP2+A9ik2d7ZgbP
Sc3WP9WC7zWBfs+SiDZWnOMVtextHJUuLdT9oxrKXWUXlc++hslz1MZVbKHOtQX9IJmF8zD0EwdD
MjE0lpQs7Q1diBWb/fkZfRytGevoyloW6MOySlfziaX6sl4vl0U7lC+wfezeca12frGs45nA6eNg
Q9/BMFkHy9KeNRZozEqvPVPDMWNTabyalzW/xb6fmoSTSe4V+rDxDnMC0q+R/HSxZNGkURzkAIqr
Rj+AvmL4AkXBXaQFBBFlJVAb8jFqsd8gQOgoEXKRJCq0iQGNQlgtNPvFVpO8jWgYrO+8dhE15gmr
MCoHasjRRvWw+uxu1sVjaLDkKxdhZEJ+9tNFLOF8AggyJ/DdlvY2iXmY5IumEizqCtVxb4GJa0FH
eAEucKYp0FcqZz0uykwsZkLfmb6yGvWuaRIUpfRuRsVROoT8RdbRtXCfLEKPXtnbQSk8BQWIrJ+v
owjNizSkGw0iEQ3YYDrmjzqRndcr4me8SEpuFfBMQ2WyRbXlIvvRNbPkbYw2Ei0qXkQpxW2YpxmW
Mmv4SbLRIHg2gxxze58hHFELdSsrDeT9wbEpLovLG41yx3IRw+Qii1EJcIoWoazT9c9hkc7Iy23i
RUyrUNUa1DW94YL8v+ydWXLkxpqlVwQZ4JjN2voh5mAwyOA8vMDIZCbm2R0OYDe9hl5Cbaw/pK50
S1lW10z12FV6k8QpmREO//9zznfM0jwZi+6WLQocC6+XtkfFRZrDwP7mI9WBtcDLi3bn1YT5OB3X
zqLr1Qh8HkIfQEoWrEn8ofHo04EJbC9adEFWuFiEFq3QWFTDmVT/Fbz7ZIcxH1TIdOlbp4OblwOy
t0xJz8j0Hs6IGfmiSYpFncTlg/PFOaRm324So36tFyWTVK84+4u66QaKxby/qztchNpqb4tFCTVb
ytvV3IwMws69WvRSJraRZ2WAxRcxNUo6rnHIq6MR8tjpjgSd93gEHtPCuKmRY1HNX3CSY93quke9
KLYzlZQ4V1Bx4fOwtgyGQ7MovOWi9faIvqbh8NJYdOAgQBt2EaK33GkXH9B8iZCNAZZ1vFpQknM/
33ple3C6UGHDnL+KRXHmcDiNSNABUjRfGZTr/JTbzSIcLhdNek1pXsFzMM56w/qE5VlhH5rGaj45
KKm2MWFsZHmwsv2gZ6xu821Ch8BmRChfzD7gE9DOxaKi60VPB4lH+8iiscc9anuO7D4jv5Oru7YW
PZ5LMGXoi0YPlvjRzgrGadT7ujCwWI3zB1UVz2ScyWguWj+d79+bIuTioeRlnmd9AbT60lFOc5RY
BZyimMlh4x5AFqewaqDwarEW2IvJQEWYFbkdjVuNA6EYsVl4eBJKm2BSE43nOBePYs72GgcDwA4k
RjwNCea6YDE51CzPk8X2AN71vVmMEMZPTwSmxsh1zzLB22JT5i7qydrmwmdKDSPoihtgfngGqCAp
kVa4wtaHOSJGPdTnglIXtxcY6fpnvt928QX1Qmwtbi37sSdFQ7SP1hRWRPeONteDZuiPaWuz7TXk
VaLFNDU5GhNSPRXXghl37SUVdlIzcClRcva20PQbvkjgs9uYg2c/Vpr+XVSbTdlHp57i3GsVUvRE
EDIekX0yPzkX84zfY64ucuhchlWnunOn/Mm0O6i4CcUvhEKtC6AMBNJOA3G3LPFeVKYJGJgcfhG8
lkzsveWojZ1h958wDtCAgZGm9Z/8dviB74aJnjqtuB8e+aV/5qA95tH+DEu8IrFpfXpO8ZF4at+0
CX0eWIzK6FuL1Qg+/RZBCECRcZ+PLs+gLwn7cwqM23z8Qeh/1VRszz18gRqlOkF8T8bypwdA7eUA
G3o26+q6kQoQbNs4163j7HEP44Ll+yC9X+VjMd2kbawuuTvETJ0VToLIZwWnw3DX8Hzbxiw/1rY5
qU3rVC+tbT4hsl83I0m0QYLPtM2GeqQ8jTcNYgg2AL+mIgqOtbaoujTWqr4dRccZDhdaRkN/Etqa
2HtoY02UJd9mNThd3mnnLPnSYbWbEprtDOabtW62hdOvOS5CGagtezYsOYEErmhsInM4Wn1yp8Ep
NFcyI5jAgZhbN7o8K7XtjPTKmdxjpt5HfzvVGAiDdVLCV0lxX26imVck1elvGrMNpp6Aztbg+2z0
ct02Wct88SObHjXR5BIggNHd12XBHqk6Sn8/zBc3x3K0nwCtchOoU+c8++5T4bFVcuhb5p5E540z
3Idjb+2cNjzZ5Ru7xJfZqKg5I66Tpy8J75uVXzK0wTk4Jhic6l6TygmOwhpfK99yV0HBwda43Wmp
dOYP7t9rsHeoXjXEKadKl25lHm4B28EGh9QmFfAdiPcerCg6CreH4TLdDy4PKpfiFOAJFFbTuCHT
i1bx2TOz14RMI5n9V8sFsdrw1muy/hXlclcp867Ebswbl3Wr3DQFQkxO1dp0R6piNac3qNBv7PZu
DGgAtlNjn4nUa6bb4xgn32VbX2RXXEjw7WdrnrZysnxQRtaFhQb9P0MkDsrs3sHxvZWm+Z6l4pMB
+jp3iW4lZd1SgmY/2H0Cm7YaTzM0Vlg+PARdkiarvOHOl9vtQYhU8fQSr4CPnt2G4EqcYAv1fkha
z8ibzdGXOV5k2ECFwnCIcttTamRUQMPZFV9Ylq7x9aRriDt4cmtC6+MT29F16xXojjBzAJ9zneiu
5uZGU8pNTp2dRHaVcD/z8nDDOoksT3xB88zAJ3VbfPjwP41LFO6rhiODTeTY3uY6u21YOfLm5rE9
7LM22/S9gMBK1Q5CbBdYq9n74lw+hNW4n1ODNYa4DYxyB91nJYS9R3WhXHqlHNTdLGNPtDDhbwGL
lysH2TPswfFPNogwOV3VPupMUh0xkG/wjV95dsZ2bd6DPF4jjD7YLthUtmLkEm94nV1bXnHFtDCs
4WM8ZLNzNRTBrezBj4xJdqlq6eOdLPKV58aaN1gPyp4FReXGX4VgkJ8yuR7lCACl5TJbGWcyhtlG
2CzNqy74ipMh2Q1OBHjA8TeDztyVM5dngdF0q2bny4ic99Rx2QLOuXFxitpf416ZX4Y2CbcafsHv
MtbfUpX+O4yJv0tEFKj8i0lx/cHtQf7b//n3g+I/P++PWdH6TaD+k9mxWYL/FRCEgGRioiBH8/v/
Yyj8h7QkMJtYfBaWk0U8wlr257xomL8x9QG6DrG3+JTG8VF/Z2T07P+Q5rYDVywqFtRLptfwF/2z
FIgAVm0CWSZ8pl5yNU1w1/NQLGSJ/LXOtbGHS9dc/Gbqx52ytVcc3Sy2d92Qf6ZwhOZjw1MH/0Bd
mfOuGDyuDWMa2nIz5f58o4uQYM9s2tL69L0+bnajzqmMS2U3n0MAd3zFZczMZPujtuLhLouN4glw
tQFBq01djNJ1vfNHydUP5FtIextFWlw2VJzUm6F2JOujKKE0kFEB5EU8VTQp6Mg6jkaaXMkRI79H
idq9W6EAsTvLnIeFkPDgi2bA4BqxRqrj8ktjUecgt5OvKXbUnTUGDo/hDgSIhRb+5o6yPnQ5gYCR
nNclHr2YMaWxgr3M82wNUcRak0NtNyadcS9uOhZXVDzx2KZGrvkwiKeOK8fBjr7q+ClfapAb9xX9
D2dnUM513+f1S5hp8VB5zbg1ahVuusBOL64k1b7ps8y1webHAVHhPNyWVdIdghojEFHd6kivRncw
ZQbubXIrcfI6S31qrayDF5C+oaDUv4yZ6m4HUEy4jHKju8pCGnRyIORcHEMRf/aFl9xPvvLuRML2
FJqGWKMKGW9jlfZHcjrWRRdlivoR9M7Whx7JUrGenilLi57CvKx2cRr020ZG3pH6wuLd9Vgrbkub
qnQxlgxY8NiuXUFp5hSr4XNEdjqRmbafVNU3j3PQVQ+zsOutNjzjrEfZHKfGKe8l0+h9NwpzLzO3
RmBwuA64MxUSyjmhJIVfi9m7HGBMqylv97KP5uewCO2NMUbl1uin4DtrSvspwxC2moamOcyi0Ruv
1PIDNoe8J7Pu4bvt1CVtnPwD6BzLjtoQ4cVngf+NR8gtEKhHJ7PVru8dfXTHwKYy0MMcH7XyoVaW
963Tfvvkzjp6yXWTfo5CJ486MpNdhhe2XBV0X++VnQ4xXlPbvx9YQRytlPwPQ5ldHqWgGmTFUV48
CD9KLspRhMWjmKrX0MR0krHS6LdJwUOTVhQs+Kx0ynOXQ21cORbFhaswsyjsS0f0xE2WJPplkHa8
dyZh39vYrK/8pHAfCUi394ngIqZb7W5r4N2gD1z6Gy2zPdXSmvZUK0UX22znrzyM3fsO3WLj9Y1/
ips420qqG26E9ucPq5554anSOMBFHM5WZTSPfuKwL6lM176Px7LZguEsLvaUcIGOI5oKAVud5lHT
bQZAYV35zsxFu/KSde525k3FhodmDDndjwO9KA0OvdvBm6az0sl8GFJrvA1Tc1w3Vmlg76S/BB5k
djbHuTsbvqaTpE2mXWbbLIyjwhzWRim8dtWX2tihczMZCGW/ZQ2XYEoCW1xFg0pXLiBNNtO+uPVq
dsmB5z7lsLsvY2rcYCe7yk3rKWVvtvQ4huHad4PqVosku48TxVGWR7ohTOOZb2Zpd1AvO2PaFa3t
3HjEr+hl9Pzn0ku/TVY8Pnr8/HeVsuZPeoCSdzk7iCwtGTE2PI431Dt7Gl5yI3uRjgWSjVie+ZQ7
w8APgWnuRZZ+fShsS15beqKmhuXXD8xV3JebUDdHIw1aRBPEN4SHnwSCAPT4qot8my8gHL0WUtLC
NeZ2sPc8Tz5GzWSMXJcCP15JcJL3oHI4UnkbUO3oV/G+MTr6g1AbNcWLznTLHpxLlDWHr6Lv6fdx
LeY1SgHYONZ5P9mb0dPDoZz8nlBUTv+K7Eq/2qmGKr5V0lgs4bBfoM1TjkmNZ2L43M270MZF5+RM
MoUTWOXaSnmerrrSzp54kQW7LC2Sxc1OPbCKcQojeqKzrnqlukM/J9OZsIx6mlpneC1z37kq+aVY
W4ozyT8NQ/dtmA2Xm5PscdGZZE4AZJXhwr+vHHcpRbSDRdrq9YuHlQDpXNgamEiayK0cq4Eal6LH
iYjB93rKSziYRKFyciDDZBMgSlN1501BSiVBFps/NGcQWk7dVXs5h3SnVj/jI1mMYvZgm8bsYpCe
3Ajn5zR3m7FX47mb7PnGKBYaU9Xr4Rmocv9hIpjgkjQ1G4AW0/7c9bsmFmwP8yozAP4DUlleeJG7
CUqBNaJwiXwY5Movgow326BeZguPpcvoLMi1PRHUqdNba1nl2jXX57qYm5hTkifoPtPzLHeBGlro
WAq+GWkd9xNsiM5PIJEUO6WCKBlW8ia+6aHP2NuhslJvNTotebPWGuVnS5sOS4WKGC3DUu+W29El
0pZRSwAjo0+9a27QvL7ow6OMwMg7qG1CdRR6FM6UPhGZYNub0we6inhJLjl62G5+RD9HRtZLNLnz
gN2mfsiKxLl2PC4qjK1N89QlJfQnd5gQBK3afm0M6t3KwCcwBtl878O9WpseVvQV1AWzWvN+Kw7O
mLxYeSGosKJJIS3YUHQTwffZ1SEBhym9BkI3bIaWjUKv2MIp6dFMoVomaA2zeTlhGpJ4U3tsUs+5
QU1LPspafQ/tKHzRmq5t9jHjmvhUyKGaFs7B9NNhG0mWdzGQm2tQIscm+7IL3z+U5JQekOLmY835
zelO0vVU9IPxqkFVHcvCYFee8hQETYZc1q6wDYTtavrpyW9n5dCtxz6Z1VRfWc9G7ulozfXRfCWj
WV+hSdS0PvGOfmYXaL8R2DAiFlCyfnG6obxt7TpH+6N2TDe2eluYH/u0MPXOMV392eR+T0Vs6FK+
WabFJXMSD9Lv5AHeSShAPlvKcu5nI+sJSFnJcBoohNlRV8SCRJsGAbbGaNdG3Pa8fNLUveI9blz3
yVwcIPnSNaZG88WcHfqwiiLr46spmzTTZqyxPyRSB9+yHHCwyN2pIQBkt+cQ2NVzXyPb4gbulFj3
mYSTEvitERDILUVD0C5uWSbwrlZr1XfTfVwXsLwSl2aSWJo3wKPlD1Y7Pf1VLs1UvHyufVKl2Fh8
HnhJPqdXY1tnD1bvtt8oao7o/RDoDDYslR+jkO0pVn57HvqSWJqfLm3gnrstuIewkrTL3RgMADf6
H6Oy3LfS4HkggXXeNFHhn0sO1H3qquy177V1NHoj/MiyytvRASVZmlKeu55rELdrsNqTu66FAD1D
v9rwjnOyvWMzYrzmvizuWoe/ldTuDHNXmHH25Vc1lbhj691Udll8YbX0LnXTsMx2gTB+tIYRXNHn
rveOzVYJdJ97aJOOfSm6j/zGo3H0V43f2SyohwWJYk30DK/ARZLwDLHZkniC+H9Lpy0Pzcqbq8dM
ODw2etu5xfoR8yQF6Gmt09iz7xIdpP2WNu7gwYnd4q6fMrqTHUItT9WIE4+wJtfNTWBP8m0qYyjI
naX1ieLGytjp2JN3oFtoeAkMj9CgjFreAzQg+2DFW2cW5ITz5LacMGvvsnro7/jBs7uFZNaR03SY
Fsh1UtPlTT2rVB+HEYknQ6sz7+HxI6SXfK9Tv+vgXWj1rozQm1amEh0bmqQtrmJ2AzQGaW5m/wVv
5n+fKXoJUfzneuvDRyU/qq/v3X8co5dP/GOMFr+RyGDcBW9m+g4mo38f53CF51kWbsyfcuw/Zujg
NwsUhTD5WD5+4WX8OUO7ywgNKo252ufh7lt/q7eDrPkvoqtPWATLMjIukmDgeb+IriozbPg2JcTo
oW9YnHYWaza39q+w8PDvmfJXNollZ49TjYq21hgd4BLoGiQkVPmYDk3NzrYo6wUmhnApddP2a2Xa
ut8VAr+k0QnvOsl4wQ6WOTzkpuPREJlW1qWXQUFHVetYaxuP1rdQ1jg7OrwUzuDH14LAIBwop+qP
QHhhC6CeUtGKFwhghiqLRYaiscwey+xbOjAqrhJm6GfXzapv3qRTGhcckZ2m2ohPQY/fgsMCoWEq
hX1OXTGd09QzLyp5iQDvhmzV2uLVaUmW24klD1UyQT0qwhRafkyW0ScfPHjWijol6/voqLJZVxDm
QK87djRTZOYaW8DXdCh2vn6Eu3nnl12xds05nldWSxa4K8rptvVaSi2i8CHyonRr6i6nQIlaWg5u
9KfSGUno10YxkNg2vAsahL1xi3i+NXMQu6zfQmOTBrP8VnV1Sri8i+HL+b2eH/JMydXk+clNKuuJ
y1o5HByWuhsSnemb5ogiveH4d3Y1mDsvyh+5pUhuIwwqS0kAptfAaVuQRTNkCe5huHA9t7m2s1Hy
O2uc4KpPmWsY5XC/Sj83b+skGB58vu3ONE2OKuih9huT00RyouC/TgVohRXp7vZKDmb9pMUMRx3C
/W05Z8jl9tQeQlU1+TZIpuk4N/nBNFjfkCg5h17PEdiODvepKfVYEnKseyfSIt5D6enivmCJDKFl
JIBv2Oi6RJSfJrYP9FpTGrMKzVBhCvR67zvXbXrEZQ6UNKV4/QbykP+hTGeQa8hm5WUKZw7vthiK
t9GLqoRY3DgdqlQSQrfEmN9yYXbo5A6pNEuS+GClSXwOKay8wMVHxvSsyv+qC76cB8HsoiCcA79K
7oiO/6CJKz3FtYX03fXB9zhN8lPiDMZ+FnHwlBuq3Im8IZ3gtkT/6ejcNzqPbslSx0e/TrKcZs7G
4DldlHctRZ3bcnEnz8p6Da3+Ksw7bD7cN3ADSxcIdp0PzmayYwpVKT3o2emnEknUNjZVHwB1g7by
3TGB1q563yK4Xtj4BngYVvmmpd/Lpcczw2yYuNm9bTf1Na8fRRtgVcl7K7KrYlWW9Aovz+F3I+TZ
uhYOZ0YXsbWhPmXwXunUIies06LFlliZ4E5jEu7BpMDY1NSncy924wbuXyT4ssSzCYDOBYXy1G4Y
u6HzjNcgcR0ctXQ4wi8MvfeWgxBahvpZUDXSVcW0nV8j4QW33tJkZS6dVmKqh9c88/pdPTbQGLms
EGg02EKvCHy5m0Shk5ZLT9awNGbVeT0+wvVCG3D2lDlwUV+qtQhk4XrDzImREr7hMf3ZxFXZ0xU1
BBBNouRDGcEND1XvNMiO/lQVcZMi4vo8NlZCQd9QPHB02Se0Nxd3aB8Rf+/NW9032c7XrQedmyab
Eu3sWLI930g5zW/5nKGWUVwEfMJk2z4RYdkoGcRnVYbdOnM7XgCk7aogt7j5m/4jvbUmPyjd9qs2
IfFT13AuLCAh1BSEHzO29I2biXbdRRzWHb/RB2Fmp6EOWcXApl3biWCmmYuTWVh0IdIjl8AuNmVn
nSvf208xoH/TY3EUtVR35smn2fT+ehpmh2qKGA/klNMP73gI3SXlAgro9LqpbZdwe4xVoqAGIsd4
s248/Z4FGUH6QJVnxpf+RIlBuuIgXexgNsgS5H95UOwBv3Kj0rzsNICGwAKc1PiQMcYZea9zWqQZ
QQfaBxEbl3pHz2V8snElgw8gQYk8DBqCIa3Z+kGEUcPx0mxb2OkpmMLsbpwdS+4ixmYLjrDdv7aT
5siwo0nBhYEog+n9qma5FO3mqiQOxlFUH/u2MDY84gQ/aeCbr2Pq9h9B79fXTc2IEDDuQEzb9YA7
jlqW1YlKhQA/Tzpc2rArboq4l9emb1QHhrd3WcKPMyL7Q7f0qeHYo1SxjHGFkmuAHcFM0sdms8t4
5eBJCsjysBaT+8D3zZ092teOGCgJ4cXu7lgi8tcvDeTvfqjCT/ay9r6Yg/zJokOYkJontyaYyH0M
NgmoAcE4b+U32NDLlLO5wbgBJCgKWUXg+9XTusRNXK/pyyiehiLqH9PAZJgXYCF4tjAqveIOHtqV
zcwOIENXxVqGCU5UOfbjg4pVfKkR28ctiXzTW2lGKeDbfWZc+XWkb9w6EAfXKlw4BaUCHRWWUf3g
mGom+DEP07UMGA5WeQ7+kbpc7KAs+6xtl+CmoFplND6TtEzzDf0wHe77KX0VKvRXP+9t/6MN/dJG
Z9uLS+9fXGkf6yIt/+If/Men/HGZdbjM4s/zfr98/myG+CObTA+duQSG2JD6lon+86cmhOmQmyy6
j+Vav992/7zPUnqO1Q+nPHjf5WP+VjSZQe+X62zAJda3+FOSODJdrsh/9RAWk0rClolzU+iUll6q
Bs42gY/9wIOVdxaI9SN1BsatP+M528Afg3MjTIkaEnRdeBr6cdhhZrWPycxljzK7JFg19jBtjcKc
T4ORFXsJ7BrhdSibm8yQxW3XFiaGLqtZi4nYJlawj2qu1bOocUxc1WkQXgn0VDa0xDdUoqajboXx
LXZ9dIQBskiEw8JdWTxq4f9uMjdS37ouV7eMdoRCnkzffxzaXD9iPX9sBWZaM6V1IQVP0u8iL78j
Ss5yPK/Fkz0aN4YvELXNKr41CoH+WsRfY5fo57j323cXu/6K7EsDOE45F6FjnvJlf8PNxdhWjRdu
eIqGN0avOkz6AaN0bBNj4VR6iWscCCQOuKaGY0W0J4sr755HYLeZCusgi25UCPStcxira4Pijk2Z
+sMxLbnQ9NEArKJSUTqsdR/0lAU5nSO2vVvl+S4LjXKPIVLB1QLD9qAa03schUMTOQ4rEpTCHR+N
JFToSY9BL8czbdbt1mmT+JX7dDzhoqumcePpYAhP42igjRtZOtzEfjg8mF5QPaIIyJ49oaEf4D8Y
9yxPrsjc3gxz1p5aeukPqTh4DluStZ36/OHKNiMqNhbDeCHLWy7eOW8zlq2Cn8U1lhTtG1XFyYNU
ldiOURJxfSAbN27CnlgCMwJQy2ryn0Mx3nPB4oLK8fnZJq54ZkGFibQKkocaUzopaXu8w4pNEMaJ
AU0nZXdSlDLvFJnyDeD+7KiSpnv3G5gxnQnGK6rSiXklDosnVrrFt3LE1GT3Efg7QYHDQ+I73kXM
WBcF0TVK52UyHJGEZnynfczOAMhUuCVBIw9m2kabxmuyGz+LUvrqfXQa1z7HsnE2fd2wsYPniRXT
1tNHD1r7K4my4kx7eXvMehfyHou3Ck89DaisIsyMKQnCj5zI9ZCPh3pid6TKgcXY8kgpl3nkLYs4
GAq1An1j/WhHDKordK3py6kkP1Cz8Ibg9QFdy3myT27zw9OT6e1D1TXfC54VT/GUTuUqzQf3PGKH
8NwCy2bX4tiLRt1yo1X4fIiNCAq8kvIrVVqxcwxBedPUjo4RE+ePrKK+bxZOH+H64Da0cXWs49z2
WRglRbdjPW6dndTJryUiiaChpSS+3xaiJzE2hV/SGnJrRbmLSc1zNzQn7HrltB76PE6PPlB8qpLb
CNud4VmfCc+yRz9I3bs8nYYH8G8Nzs8FGxmpZL5TeDnpoYwyg9ddVcNprJ2quNVZwaZRQQFeEEbZ
tlVG++AR4sZk4lpHW1vho9d4xojsU9Df7ei0mneNDkj/ex3/bJFLvS22sZqSLaSfTdlKna07JzOf
hGFGL9Wsqis9X1pXJd3Gm0hmx1OePnPvjA/I2tFmES+2YezEJ5P6kiP8gbvZpE8hz0KYa3wLqGbv
bTQCiQs1YYC5jV/sGAgh22DQJI75mpjGDcUfK066bmvTWxvnBzGUF7oazpNLJiEf9n3NYMiVCbDm
AXFkk5p0BszL+pvN8xmAY3uabEkIvYNJZCfTvAVsYonFFFOvp264n5PYOAEiIw4yy8Z8zM2l3rPg
Tm8GRbKm6KvZWOWQ/1DtHXcZfOOB5E/Yl/JgFO3jlGeXgckPfO4+gwe+1oQYexkFu8TM5Vpa3jOF
wBviP7DpImyt/a7Npnc9U1Wezj5MOOOLx+qwt2L1zU2lt6pst9nzgNqOE93OQfsQWoHeJH4NeilD
CQKDhGtStzN/UxVikEMSckbpxIjZ2Qej9W9c3F+yb9vdPLZ6Azn34BhVs3ajkZuvtDTnPIiCcPSZ
zt04xcHc6E8RxpRkiMI/LJxOp+6w+/KbaQR3LQghBYdbtKlQzWITRHLUc8T1Szwj4pg4Zo571k6+
qYn1HWsn5kXj4ixNvM82qnZhwl9HOJL1EGUdbqOYmBg7GKfBzIYt+diGrCWF3uWGuIxJscP4t0uC
bCORmYyhtTFV2NVKV0B8KoH5sTVi6w0N01+bTZtAaXrvNKuIjHSZzLH3JzxeR1dFV7CJ/VPS+M62
yPPmDrJVti8bP4VHxcNhR+INnF6VzW8BOIiDImH5lnkpMChO08dwnJ5r6O9smGp+cR2e9q+fbPeV
KPr4xSfeEm9a06JkmiDaek4jWmHkMF3RDOJez/ks98tourZtoMn/hTvn/+9VZWRGAm8pV/3Pl6jr
f/u/xDY+/3Ln/PPT/nnr9MG1cNOxiIZgSfvnBtX7zUWRCfEhWfCBWaP+eekMf3Mcij9NCsQs9q/g
C/68dPq/sQRiueqFdAFS/spK9n//r79wHvpf/v0vYBkXDPFfMAy+B26HE5QfAS4PX/Gvt04z8IUM
qibacHD2974OVbZ3YYQ2JFEmcUrcmWVSW9nYzks6wvttywDLKo7KsbVkSLdWOKZcnlxsFZ76gO3P
NE7aWVtq4bckVud/G7F3vqaS+84K8kTbrdNmSH4AwcCEMWM3woaQRdLZZzHtYxu48+11alp63mJg
MF+6VOFAzYUyf9DWPmEuhbOLHoQbcDpi9WfgTztRp8cwpiN57Q8x34d6ZXlfNiKpNh6PGQrtsVec
TYhnI1GIvFPbHvn/LQiVeSX8Jg3Zo8xxdqxFDSI2VCnnWVyAM4J7rCRvIipqV2UgsozZt+ZU05aM
BIoPb0q/FcO0auKyWeh4wrH2qnRB3ntWHEfrvApKzvIymCpGQuJ2q7o3LLrKcwKzmEwauWiDAw8u
q822nWY3stKdD6R1GmUA21x0Nk0PHVw5rzcMe+PXvnyjwdEbUYbkSKejPyT3yki4xnj24sGHh2iz
QekDeRbWUjFn1lmJ73XZCvNUIq/DJ6cJH9cpnweirAhYIG/e+Ubglms9td6zrBv9bleaLAMEF/RU
Viz4OPHBRGdvzOVX5zY4NicLKnxnySTbTu1sc3VxR+TRvAiv88mlosEkI5puVC5gzYC6dZp1iN3r
O/TPTO0r7sLWVUWFZ3GVEQZP2amZSUzqaUwibB/KLJCKRG5dOeacLdGZULlbvxqKede2FXYGpp9i
w/24GLe1SPMjzZ503Fsgdvn8vEmxXuT2uit7VkpzFIZySwlpQLlpGZM1SKPY1lfj1PbPTVy1CTeQ
pUxDURvqImlrkkQmGN8tDRdNu00nz8HKje4W0TRRmTtEO/zeg5GatCf1RH5WBnFJnnHsEyFBz1m6
i+Ea6j0LWtgvDG+gCjb/M/0T5JK/tvxwrDJnc3j+i9P4Q3379Sj+/XP+OIoRoNgAMFsvXPbfD9w/
FgA+IHdWq7hvBEk+uiH/PIvthTfCCQ6rlTZHJB5OyH+ECM3fQqZ1H43Ads3QFZzwf+cw5pN/OYxR
s0CTWa7woZOFoffLCiDJiXBBMqQlw42zWypcaEhJKfhbtakR7nHjxw8B5VtrVXTVQQ562nM+B09t
YDjvKADbwm3e0rxQh6TGasTEVJ4BhXEG+ql1FXqzh5Died0PSevqvg7t7Ab3YXvSMop3pui9beAp
iQaA40Iu3gtusxt2wfTxEF4o6VyGmlmn17gTwk0F+f0NESZ+ofGcmh7E7T6z99kQdLcWAdxD9dP0
Yf00gAyaylZDdJyNdsIWfaapGg+T/ZrR3KUIA83Bqwea4kkDLp1W+U+nSVg2D2LUzkOodbkjzolO
vHhTxOAFqwxzDMaSxbviSiN9ikzle9CLFnMLVIP4zafq9S7E8Q1TPZTOGmfisPMIUmguy2Pw2ZuZ
uNYsSb63jR4o4a50ta0NZphNAM7jlFBYA4cYxxw7ZKyw+DgiLsa6bp4lzzZ8sF1VfkdZC4uNNPLp
PesCCeKBA+KMu0N8N6rafABcLM5REFi7yB7N65ga3jsMQ/qbQalFs8LVl1tAZFoMca2h+yuriily
MWkIWbFKsPFNlWO/x9tZfA5RKHA6GuGzaSoYZV3JsbYyYjoqMJ6UBuYzL3gN9RSSthMtkznlvU+T
L06QVicesmhDMMnhwvY480dVVzCfieERDum8/8feeSzHrqXZ+V00xw14M9BAiUT6JJn05ARBHgNv
NszeAN6on0Mvpg+3qlTV1a2OqKmk2b1x4vCQSWCb9a/1rfJnHHjMQa35QbdkRwofXTQOzb6wOlSe
bmGXdezy2xJ6sE1MTyes0GO3QIA1L31WNKeWuZYeejqhkDnO1F05uct77AXFjX5HAQ5N+tYzuU8i
US24kBQovs1e1402mq7NgBUcRdvWv7TUie9nYxk1jtwOtBbP7oR4Jq3BaX2OOQ+3vv4KFcR+LtbD
slyPzTj2NHIIHKWL9VA9rsfrcaA5elNkLYfu9fgdjBAq5HokJ8MQn4aku0tVku0yzu2YgYyNTL/W
aeBzoc61ExwN1Q3bNCElQmynOdewPoBvPtnTHVfXO7vNaD3yrKhb3b/Qfe5UIm/N4mytUv2a/JK9
byVT9sA+TXmg4gg0Wf7gKOKwFvUnDrgJRGyOKol7UyuwNme7nGvDhn/H8KUeqXWdzi0NrtipuQ8T
gJTus0GkzUbChDZtOT9Hdp7OTm8TX1UfMvVNDdYU+dUj1pRfUzvBJhlIcXIt7DLBs+xfRmQgDKsb
2lzwd0xRPRJd06DhTuWlNdwV904CrfTP2fjh9T90PFGNy2xc+o/t4h1oAnh2xmoD9GY6kVah8Dux
iVj9TCZ9o2QbpQKjj4uXhsGtyYg50+9iDGYnFysM0hDJj0KlRzOX+VGPZcJQqMt3hsv9qitoY0FY
hD6/tozHMfYi1yNSW/o+tZhLdQGlGuxbHWRgkVUvwvS6yKkNOrWrEdJ3SSClsyzg1u696OqHTEKY
a1MmhollfjcS61iCXIkTmeJuDrjAgrth3PaC7iOqoFaUHwObGckhIi9ebl1nOYycBvKeUyCO/CkU
BEeGFJllcdy7BOtTNEn3sID62LSr6Q46CW24VmhpxVup2vI0zNa8NUa4JnjzeZ+BH426hMc+EVXr
Z26BiKcVAUYY1n1+4YVqr1hDL7OSUMqC+kcdd8fFSHqmFg6VrtQxFBCoX7zc/F1m4pVmNlzuQHjy
ajin0JBAz08BGeCK0bJWcpCEgdw0wSe91g9FZ+2ZD7POePFGAMGh3ah4Md3lSgwOCN/wDvNlCxXm
vfQdIHzeeCA/hrbSF1jqpuC1Bq/kzbIOy0rYYdyNfsSaaT6kdvbpu7ia6zg3N8OingmkTicOyF82
forVvJQk9D0RIXhk8k3jbbVt5+5JT70Tapp2Z6v5hPNih4I1wcCyAQAmAUSo5SGV5WENGEjycTTa
hrgsFWlbsnm6uY0Zy/gEJra1pxVbzNzB2Ui+rVnBxHfOrM6IJzn9jcFmyp98Ldhq7jW1qc5MT31H
CZUDrfZZm+7MQT/m4Ly3/mS+Tj325ZrfCmIgs1w++p7EfpTFngwTyit9HU2gTqst41SSt76aDvAm
vTfI1hQWGKiFOKa08djVb6hsEcGB6iKCAsMhZlAv/SUZCPGsJhYkTeeR0MPdnNUPxuK+I63iPM/S
XwktakoZKagxQgs+n1i+1D+9UZ7hvFzqIKBnMz91WLoRfE4NHsKwG8Sza5MtTPAgp2YtdyJAlrGH
VUaPFz3CP8hdyxojPW3eLKILoT/SxNT51AY0xW7gMyFxdqMHHmxw/eaMSjBFkzccPmbojj+qXNsn
Tkp+OX6z3VxGYA7To5FaXTQUafs5xWqHsyKaYzt/ZmIr6fxgH4entHa8ZtkusEso4zGR19pVB1uX
rCul81Kr+OgmY7Z1G9XsXJ+sGr1eztEP6uOUYhwDJhJmBlNZXgWqVgI4a0tczbt4HJKdj3v2UFnp
V5yMpFfy89IMw9G3KY5aArqZtMlq73jLn6XxYdq1sbUsC6c7uhmuHhD7zGYtJh8+1ROzYW3bJSYr
vZKe8flFle4cU3a7MA60S+ysDCZnLI6VPbuHMtPzN8OjjEPvMwe91OwjH5n/t6an00UqA31LERTb
C6SZQx9Y72bsYwDPg+kY6EvDrSZvyKVREXUPMUY520bomXPkemr9rCmENXawTcyfY0YEHov0HNzh
r4upkjMos+qI0kZFLoujh0X5LRiNbisqEgWBYrsKCVy3W8sQ/q5KOr4Rq6qJFuJbmQ7gJuajo6vs
SoQab2LS+nuTTtf7OSnETpop05cgcx4Ns4JON7jmo6hysv3Y3M+cJuMH6iMNkstTLRg9zbm/8YIF
mFtLNdnMXfStC4xYbZSWt1gGhWvtbaO7R4PFYa+TsC9SHZ180S6IggUu1sq7DMxmjnrLyiEr3KcD
IYaHfgZpUPcz4iFeA+yi4hMX+rAx2Rm31CQvX1lfz/DBcus8lNkdVYFqN48ASzsZ7BOTS2zVeTsm
/N/loP92DRkZpn+zO2elTPc/hgWryFp2tnO89ICOv3ccYPiWZdhbf1DeiS5sg54jcabdI/swupKT
pWmMD6bH+gPrZwgzAERgv3CjY3EP4f9B24J7uwJ04n0Bxz0v4jMdQDhqoD9kg7IuTp0xMhlL+zd+
dXXUlfaicN8ds5hjigVIgEw0y7M2xr997KrbpvzVYPBXG4MajVzH3ALOSG+0S1OTA0ZQYPckJj8H
5nMJEHRmPDbE5S+sBcecGyzqcsVleUYMLawxuJaB7YasLVgwcIPWeZwek14QVq6Y/ONyYGujtWkq
23pXDd6dVyIVx2V1Ldwg2AuNuaSZi7AnyMa3uF5JUnG0a/hoGSO0hSd1a2V5cI/OvlycymP80s/z
o+aO+p2Uq47Ry6NVLMXZKObVxTaBsk+CN+nLi1tNd00Vy4jc2ta3432FaSZUVXbCnH8GQffEb3kt
IqCHYqCTarH8KB3Wl0BfXmAxRL5pnmrYYnaPTKPHXFhSQ0Ml5/0POVLxi7O7MAVoUQcifhn1BWTT
Yt+V2WfcUtrCSm7TDhimbgavLrilwvoZD+fOnyJdDie6S5gKQtWK5/x9sdjY8+xdz9xTkJdv+cgS
Aea8wKes2VE1u3jbsOhvhG6FidmPEXe6Z+6VLC0E+ZDZRm2rhjq7TgSZfpjZHI05FhDqhx7I3H7C
ILp4xtq8alyZ067s4/nc0QnxFMjpEcHmDMuI4/63G3BpGT3scIT+X6XWXhwDeZ7vKSygwTemGtut
rkOTQY3hQCqbjWDMk9Zq7yT3ueVuxIj9EdOCmRtABcrxrvTWlH0bTSRieX1BWSf8XDmhWDCKO1a1
bAsOEqpyQ1p73IlRvQxe98HTvVs87aI8Bs7Q+1SpaL2eRXfHfPBaLMtZa/OIW/QGE/HRWMpoSHsg
NfVG2vLFN7s+WtAof9ZGkV0DYPzQngSxaotsiw1eihGMA14n1IVW7kz5Gk9pqKbCjCp3rrcqvpu5
PWUxUEsJ/KNup8MsV/uypEbE7T8Yd3NQ8Ft4NBU6ohPFnns1Zf4x1/abm8yA7vEVela9nkg1Kger
BlqJOx4NS70ImBtESzB4VcF1RlLaInZFqoLJUiGlMXeD3M/FtNYbe5dZi35OpflVBB1DVQ/YjOtg
pyNRAisx1GKDX0h8P7hzOJGxEsweCjHu2Y/TJ+jc9U0hxRIHz8dtVufeD7epcDxNSIHQ+sKlD+iW
qVaXpTfdNAJ4PoyvaFT1VcRY8yAfbjGPbqol2GncXh9zQclJ0j5jEv+UBb1ChHP0OWmOrRZEhRWo
cGhBEfJxYGtrqHLScq7ZGqRqOVm8siYM9YMnG+sR3pwMm44ChzAJcmrVK/rSkGBRU7ar+Yf6A1ce
i94YdZgXKK4nQ8Hl6YC02BvHirXHzNSTsA68/pDigDqO1cL/J7KCNDg1EwoG8DagPmgUbMjaUQXK
o58nbk2+IV/8lgsWqLBigjswYUyDH/hlvyX8Mp0uKjABRmyERq8lYZAR1ewILJLUWFHicaIfrcSe
jombGEeJK+Klcquc6g5tOTvSPv3rctz/7YORv4StTWC4/2ct7jBm5b/T4v7+l/4mxuHGMQyXUYKt
e6b5p+L2NzHOpXDRRoejg4qszJ+K21/d5dYfjCjw2/hsh3h1AgeF7K9inPGHA1GXzYjLjOeuVp1/
RYvjC/4HLS4wVrnQYQrD4CZgOvOPSC9NliUAoDVMnS1LmDRducL9808jcX93g/mEIdelXd78UJn9
MZRcCQW20AfymCMJCWc414ELDL3Q4OJx6f0WzpLQ00v6Zq5TDaXEtVYBve4vVl//9nsTa+2cDmGH
rPTa5lSsubhBuK5hM76V2CYqAoR+E41QeO/A29ivKGf19+Djq6vHglmC21LV5rYMTDW/xblAsq8V
YQ4m/W6EyfDddtge88JcXnrHEVSECblN3JLyR/BmnNdyqgaHYIi3Bh1txEzASG2qtLI+wOnCD5pN
Nhx7DbCZKVG2Abc7GT4fAMySWs8DwJlD3STgyRdEwbClrCuKMXkANDfND11kbI7Ub2MSxUocUV8L
1bXODCbQtX3vl1625ZyoEeRUsHmTGNhqkrFTUPh6Fa4mtymj2h0bOteauh0Zzpr1qfkzl8fQZgxr
LOHFsNxl1vRj7IbHlGLDp3JptKN0rPQXuzGV3CzE+kIfF7ZEfUt7IT7YQpsOyoX44mPvvjp9696b
vvVNppJooLs6W/tK31vCKy9Ym2f2/dTbz47UfIpyZu2NmnR2Tw/Olup6733dJ0h22hCdGEBg+MeT
oRhDeDif33Rys1E50S89akq/5ubsHZNixWh1CsCmCe0EvXbkc6MJiK5O1CXdqukurxo7bIJq2FEN
Pzw5wurv8S/PDJMtP6yxOh/LiYiq1hR+NJhmfqiIQlEz5GT3vmhgcKTC8N8lnnJY0uN7leHJtQSi
qu1N9v3cll+ZkTd0Qc79fW/r2rbx8UShBfFvADE2IvqfmHeIkQXXbpawbLru6Pt0ARqlG29tK2kc
TERte20K6sV0D7t0m+ecwxiBQy5De72fFNZYnGrtTc6+eTc0Wr/rqNm+TL2XHW3TVqe54eecREAx
cuLiPlDQ2zeB213QF7UdXmy0LynOxN3lxXKyA5YWShj99JILIDtdj1KgoR6dEqcnhmoueNZq9bvp
ljDXJnmYKX7fZGbioYvM+ZWrTLO1uvRO5V13camKDiut1HZOtsShSFPQupOTH53UeKd49blo61tV
KKznZhrv0GuIT5DRzQum64GDOwKz91Ou5V8QW099WtxZQjg7zNVXj4j4xZmc0I3taPL7V000gGtt
O0Kgp8xubh8wyOShHjvL2bJcAhzJtJ+mYudg5MtRNNdE1Qd3p4HAdtHACWbQCZGQzXZee0koAJ8S
3V2h4lvlVKhUU6uTkYeOpVfOOiDDpEODnrvl6PFRaNltSJ+7gdGdmkGO8g6cUIZIzPDut176iKSZ
hkNPUqyWXAwY0XoACotg72r9fYMWOg4S7VgfaTmzueZXA/ccIMlXjaefFq+22VaL9T5RiXGWqg7C
sjcpTijefVlfXWxg2Sh+DA2inV8fWx9KdFWCTIbYGHlOiXPGwYaSQIn2m2PZkKGhEnTvBxzj8in/
EdBlVts3UuR7rxzaSOvwIceZfY55hd998GYb+m5xbi+TH84ZsmBTCWa/LYPBGu9FMzicP8AIBmVL
6cf0ZvEVDXLHYdeIe6X8Y5VoR4zEzlXvaEEIMMJxqOpQRHRxdKz2rOyZ0xy+yFpOZsjR5YYpRd84
C7WdbmGyZoORIILeobV6pHfcIn7MW6hRWtmSh85hfEB9g4Falzox9IWaDKyIqTO9a878qfvt/eJ4
2lZrCNtNLti2xdK//dX/aMUrFaBZIHalubdJ6hYjjQ8Q2XSSk+W6xVaBt4KBExxS4f9yDPFrYtAQ
pqsDUscKma6eyCG2mlD0WXdYMv2N5PiHra058a5w4OUqP9IUl2rbr86yy+Y7dqqjUYzwrgY93jPx
JTVulbwQpkIvdeW2Wd2Xs4RbbWHIXKasihZmcJtyKJ87V//J/DgJMVE9JwT+8tXCGVTQ55s0+DmZ
y5MzFa+M9nc2yD49Kc/0cakVtRVjGhfNVsQUezJ2OvNkX6ceBYigjxku5vxsGSrix3joqbAifICz
P31dI8Ta3GdhXEDiLc0rZw1uuCvHQ4uXX0yJFmz6pX3jrbjHTMnlQkIF7lUBf0sHIB3o33qC8t7R
ZwgwDT4bK34TL/uquxH23Ll4+zR7PnT4WUk94bdsj4VHHJctZieA/hus4HyFD6FLLOMgtPq5ObhF
9e0kaUbjn2NCnRZfuVVeAjPtQ00XKKK95u2xSEYgwsMy+bC8qwjqq544F/B+Z4b+coP14gFFQIIo
9/f1UgS7RhbneTXiJjDb0WxJLtSu8atxtNXNtHP64F6zMQaNXnYLlpFCthwwYUkhTiTWOIReEIfw
VndvN2psknkI4Lg8qqLAoaDMlFFYke1HNrYgZY9MejqSEsPT70nEP6pJiqMHzZf4TkJuIxMMrZYJ
x6mG6UBCU99Q6cQhoYdWGsyfYuEyugzBl9U75mlaJHKiyvmC9qvn7IYB+bSY5HdVIh6RucZyFRg7
gTMubPRy2grSHAlm1o0McLZ5kBEvnFCMD5bOck8qfOG9LH6Y9sIq2fk8ztWw5uGrLNKy2t+yubwn
qzO61ZIb6+ab5nBMaZhwbBph2hufIpezxca8U7Xqt/Gs91Fs2c81ns2NIflagjndTh8bZhJjaWw7
NLY9TW39viUXSCAnSM8WYZjt7Gg9VElt2duldksJlu8p1tx7flfu65oC2d7GceHgt9kGi4c3lyc1
dEFqrJMaY+t55MFW51bQkaWgfGjZOKbJD8fFDQ46B0Jwm4s2GhE20x+ySvFPOlAGkkQ+dEkfkOaW
KYt69Vs5+u90kLf1jBjaykBrHkQo68oJK5ugfAKtYlNp49WqE5YHtXDeGEV5z7IyRHQxdqGrO29i
4hUXwaoNjIl9qaqlOkmfLExCzozzwEQ4nn/x52qUjgqJDLM4KXc5vdvKPwd405/DPKRNSMzLlETd
LHJqLuzkmJXdU4GGH6W1VRA0y+Iz0yIaOdvCDWlkjXegKrKwLDVjRzPuo6zcEgOl7A8ekeazphci
wk7nYrR03R0JixhHNA3OitjShrIAPJVT/lE77I0yoaqvYHK9ZboJeFFXlCaksLvtFstGPLTJvuTK
sSsxXm9UqsNUXUeZmd19JYxFwaCS9EBbQIdaMBL2Cdt5rfQNWUv2FZVf2jzhHxg7pBsr/VGODNwS
e0GupagTu63H6Mks1YVhFYfVAUheEBMxSkS97ZDRtoGLwhZnoDlLt58PjZlzEvG1EauKHhwaYVyo
ZSTJ6Vjm1WDf3DBgKg9WbahzMYqjC+0WaKHiuavVdqia78I2k6fRbBlIamxgjWJLovr6N6HeCExN
C3g19nHmxlRGUcWyV38OhO1Fsg42fvFAypBi93Li17Lmd7yYOSps+3PuZ+8UkbOrBmtdkO8+okZd
WybUd4AT1MqaoPRIyfjX0vO0lotZbXA05+dMmNRrMeiJkOSWG4UJIAtbB6Q/xgAmsMsULRAor61u
FVuTTiY2AUMgeXRz8JqsjoGSXkm4Gdq0dYZ6IXMWzA9Db7x3wrPB2DvWefTFHHqAGvatJb4yk3MM
qPX6qezba+2OX8yw7uGJQDTkR9hok+7sA6NrnxbVPprayl9nsm1GJobbkJCn/xEsaEq63zPZAV4b
Gv6C3399i6q80S9euuCRDSi36hO26aDrMBul/vJEYK06Ybxs4OzAWk9y/7FPxC1ggsm1oR7fEZiK
Y+LNNhsEGCAYvPG2S5gyY6L9WTJ6jtRqL0hg/psITHTQu4AdngU6ziFPtXrPXpY8mGTKdkZe5SdY
O+/Kxgc62PG6PxXVesokfs96TNmK2RJylTL48Jb2d42BCzSU2xFdSvoOL9vk/2oHh+p1WQ8hvu5y
F09NelroPI2axsi/i9U80bnVcsDpLa9DS2bB48aqTzmTj9VkoQIKje2WFg43CSKr1F9N9t0bGTH4
P3OtvoZSo/KjCy7/uuLy/06o3/ivS5e+xvZ//lv/HyP961/7q+7iBn9gMKJlkeOIw3+Y/2BINf/g
iEJeAJkNE7qt/90ExZ+sblSdP2cLw3fyd0OqBmrPRHDhOSWiz2GYHP4/OVD/K0eqr/+zI9W3AlQf
olUW+o5urlmsfxReUGQH0GykNr3akR+SgN+nqJ0mRjNdph0GQU6AjLmt32Yz4W4Y7SV+pKLBOHvd
5Nwm0Rons1HGCYs+WUwBO0+Jbjp4akHPAGlRv5QwjeeNk832rlN6egYBjqa+So61lw6Pru4KQO4l
Yw+RPaKsDlgXZh00UZ5t62QNlWvwQzPW+3oxjssijzI3uVoW6VWSw9hkYkK3ZNt8actU4/hUg3B1
DW6A0uZO0A5Fvgv0sYgIZqCrcjXcU/CnRYyYqDYp646Yr4u8nZZqQ5l2jG92ZIOnCwP0kF6b5hsO
heKuwxQJHD6DdiWdba4lJ850B6ZVuI6M+5zCJJK0rzJhXGvWer4rczmdpgC5wc0wjKykKxKg98pm
LycagReHTvbUNT0GiX4RojbJPdbMX8AesO+Mao4In1ZhmWPSKIP+Jxodd+TYrTeGy+UKx7n2MLG2
Y7hAGYDLUsOx0pZQNnBUs3yeGCmTOSHeT//LZHX3U+G2p2qha9f2M0mhSe+Rrfbt07w0CfBjKjsS
5itwCdqhhAcHdjTVnPRSZ0R6hRfhUyOHCcyaSFVX7/qYmj08O1AT98or7/LqK3bTH05TP+FAika3
ap6AhTlb3FPYX8u+ikPJT4TfImYwWI6UXGhz1/30zb6KpFWs0Rv1kZaLwRWXTB4YLQPmdlwOh74W
7Xr814jR92P67Y05TV8l6L0GaxqY0NQomNjNkokW4+vkWqc5AWOz1MX06lCT6j8pCkzIbLnJYhCJ
GjLGgYmvh5kYl0d+bEh7up0c8HOJY2do/erfUjernDkZOUH35hoVXgQIe37oYophtsU47WYFAzSm
ONa/giBnqW8GNoG2a33yGR4XFXLNw1GRwnj1/Fm8z+40IdCPcl9JQhabvtRQUhJOPRtTeO6vGvjj
WVBlci4MM744eRxPtM/04jEIRnlpvJ7KK5IH2Q44uXHp4th5zIQYoqIBLswUwXhxx7I39ktS4AOx
2VMjK82DXZVm3EZGzau2xTKTjWsD7yzq3rufhSbe6wqyjuPa9RecrfiW2hyAOwdDFwJksYQIJO4V
T+Swr+cAprE29ADa9K56xFLjP9sY7l7mJaDsKK5csuj5GiFeluCO2HXzoDXD8pQOuXtL6U2O3Gb2
+Ext6d/JYIpX/l12YH5o4BnM1zuTlM5eVRo9lrFGwY9eYqN0OZvRtFqjUuW6UlzxFR+fXLx+XONd
6pxSWAPGKlfFpVkW5yEuiowzReYlnDsDy4IR77r0MiS6qX3Sb88A3R2D93YwsOK3AxEdHGNAS8ys
ewVwQOa7WXKsaGXCSggmnpe+NepnOGQjkD9vJP9vxvkEpGeMedfnVsRYQoBPCMtHg9Sf4rnb+jri
BM2LAa4xzC0hUxhvCA2vYYmrXYkeQGHsk2PG35qXlS9BlXhhrn9V0ouAPSbYs01Fus8l1vcQt4yI
rKV4SgSiN6nS8pjxxlc92G5trKcP8Orp3tEI0IZ+Y7mnRDhcNwZCjHcy7qzj2Eid5lIOMgwG6bET
G6+OOW4OGuEfYOKY1DpsZ1A8cBjOXbsBbeb9iuEW3ruzz31/kupaDGI7lkAu/fIeletNt5LhaFBK
Z6qh/dVxUXSS6uLMJGg12wtL0/ePvtEcJoV5cTHhjpAIsoblG1BeGpZZ0JC7YibcxfxSseniXPMq
mOHech0wP21Hn55c2egUSdl9/4KQpb/Khe2l8ZW+61m99jq3FMwTJhALQJgcI/EZ9CiJUW6BpeOe
B2PYFpFhTDdE2zcz9Q8tRpR9rMdiD0a5PZmd0x1WHGYkmJr/DNKhea/0BiMRWV/Y0gejt2dS76e2
6g7SWDEb63VQJbYVqjptKF7Sy0Mv45MFwuCZCTlDRjaSyJOoMnlQYI7X7GJfpRhNfIf0gsOVfFOP
NgdQg9aAWlXlDZYnNpQyB6g9u9p91mVYP6yyOmSibXdNKtvQKGuAHfTD7itU4101emIVTas73/Q1
bAJZckcTD6FJisNDlU4yAv0v8eLguYsDvHqOMRfhPCpEg7hhq7BS1e+58cJhAbpxa3UVNdALXt0G
iLfbwQPleA+q7aQmow5np0E1tSbI1Ip0Y8LOGRotlx1jASHSBfZP2liIX5nbkSWQerfYPgEth1Bj
crFyk7QHqoGtbPR9Z68VJBcIaD9b/YCtBSJFQ5T1BOa5eINs6f1O+f3hv3D0MQSdXQ287XpO23NB
pGXfMsYiNWgRKsMYDJJb9tBogMb1yBEMU38ZVnaIXTd7tpS4JO3XXNPahoze5jj0uN01jCWHnYF1
Ciei4WLTMWRzSwEGGcs6RNFV66MDDCgxmaOuoMFSbmDmppMuWiDlDB5yIJjTbTY4Ol5lzQ+XkSF/
zgkQUY+PmSiDf5rrwbnDxz6v4wWkAgUcRG+uxMTDsfXqvbKWmiBwBZiFBx3QzrOEMMvZZQs37ZU1
0/2kBiLZZSXgFDUOYufmsX+YJ2HdFaM2nFvCEiGWwBpLwKLthsb3n1iD8itb0Z3GKNDeyES5347I
28e+tDnMLSNWiT5GzDempD/7VtpEDmOsnUDkvyRN0d2k7IjY1Nl0K/J8+AFziTfLyd8a0QdwbBAC
LqlmrZ/QkmYP1SKbTzMdqm0CqI04bjcy7I4D5iaoLS1w28Y02qNcgbdwWuE/LVYOirJQhDk9/cEq
3H0LxQROcF8+OoHCgKkRscakEQwXqE3pbtRFsMEJB2nXApnx2az43STJhshfkbwjpSK3CTbHvKJ6
NVbBM4vzEomaeYOYAyYhK9jXSN3uaK6wX0tWn3NFh80Emu2mEwl6NPFjsflgO/9BeoyWnJUevJi1
wBHU5919GuTegwM86gEWtHFwOtjDOFeWnUxjbCQGtuSc5/5AlyLWhr6jc2FyxKGAfxNZK9G4+wvc
+E/QMet9/pD7RKpngILb0mrGW7eykZvKti9erGFAbZx8RvmBkIsOD/QdrwiE5cK3uO/bK3fZpBZ0
2Uw1b2Vv+f4eTjKVMmrFNq/JWq66ZXPQV6hzwzyVV3FwSswyubyNK/5ZriBoTn7Vz3yFQ1vaKCnw
ARidl5b1ZP9JkSYNYT72K1rakF16Kjtf3PvUuRx4YLITJgImq/QLit3KADvbuOwQgjuMehrl2xSL
DHVzwQnLADLLcW9MSfnsBLyJk8GahreHxR0z2zYoRvlG8XL9iVJiImHaWX+FPzQ+WkGdPq8Xhmc3
sEA/JU2CGNpxv57GyntwSdu++zi0rgk0r30MC/mS6nOGnFwYV0cYxXfMAZhy14Fj+VSZH0vmdC9E
Mcw13K6BMJs5ze17yqyPNZxGEIFcPtYqVUIZBmPdYx3MXR+mfqa2lUg6hpFZ8lDD1ek3InBrprCc
SvaxqNd8mbUOORsgPi42WXXvKeuzxfD26qrG3gf8Fm4mZehQIUfnbDQUqxoBtlyzdtxnpFubNFhR
pS+aVuXPjUVyOhnJUIkBBqbXr+VoGaF1nT2Dz62YloHnIE4/JQP/q08X5nW2vZI9OvfefZiDjOEG
A6Oc5S9YNWeb84Pit5QbGktWbRnzk+lnbjQxCP1iMNMfU2+c842lSQJ/et4bb2AZajgt7jJAM2ga
/1Eb2/E0e2V+h2AGPRaPFb0oArw1hxUNeY8OnpkcIgNVhqI5IGyIOWzWCQfmacJdlnYLdxpVF61L
eo14GXCa5h2KMV6qjhP3qwkOCkxDLhugNXzrH76lQQemUPNOz72FgdFgPxS1nfFK1125dSo7eUnl
6MhNzOX1IaCt5Jgh+h9iVlrKcYzUeDKyuWbAY+jaxU2YfeGT0W/Y4EiMJXMKdGPGx13nSYP5qCf0
nFmauG/aXv+NECtuHRGzx3xQ1dF2xEQ0ZZ6Tp6HzMQjF5Ngis2woc0DBxU9tWPVHZxY83UtK3Nwr
kjcYoD5ntKl49FtFcRIecnJ+NW28foi9ladpdGe07Txrb06WQWDIqJCpe1ejBWSmTjUrnPSzbJv0
gbgfE5pkdZ45ikTPkW+dmEkhKkydKdcKa4bLYMjMOcylku//X/z5z9Jvhg6eBgLNn5/OX8K+26/h
66+d3Hdf1a///t/+R/VFo+TXf6b+8Pf+rv4gqvxD5Jh8899cN/YfFEp6EJ4D/Pn8lb9abvQ/IOUE
pNEC2/YoSPGYQP9v041mI/4EFlE139ADA9nG/VfEH/ry/p3rxrWQr3VYk47pkofGlPtP4o9X0HsP
uZCGTvyl92lcqNE96WIe7U/F7WxwTvDOPeq3MTO21KoQuAZEIgfspCtR/K5a3PbTa7T0Z8atiEms
qTG+Kbl+LrSgZMkjZnzXDNu4Fa8tBJjL0DqOQVWMJDGWi/rF/VMmwh8wHaxVO3Jx2kTGqicBXi8/
CljyoWsHL72I9XORz8tFddZXEcv+Yxmap3EVpvw/NSoyTNNutoMaqKy+zvhTL3+F4a2dskDYd+b6
TsCLgd1PYaDcj+s7Ewt3PpCl4EViDshLNfwv9s5juXJlS7K/0tZzXIMIqEEP6mhFnSSTOYFRJbQO
AAH8U39F/1ivOE+/rjd4Pa2aXjMmeckDxI7t7suHAjFdP2nUDie/7OvjV+onkcMVPd93B9I0PKf1
9ZF19dNLn+CM8r1wdq76KtLIrJFnXeqnvsq18iXliJbSNbtIJPa9k6akBnLgsgz0vDgimJHb4fo2
KUiXsKigvmqV69eNoSCddfoVVPfB8psHv71T1zdU15nVY4UxfNnmQoWItbzMOgakB1e/4CL9qoP+
XhpkaSzzaQDcXayyP70WeUHCWeiI7Oi3pqdfoLTnqHGtjDI99/Uiz4NRF89uPcAWDrroEOp3cIum
c1BeY/2wq3qkAcEOHr1hCFGseG+7UwzvZwFH/RPwEziL6ytelnNUbqweW+OKdX1yKPShEGblcBiv
J4Xi3OEHY4VwFgnJlBWCcwKDQZ8uKSTpW1/Ewwn0RPBYZxWiuCeLGlvR7FqvWPIHc8VlnEMraN3+
OOuTzNFnWqaa+Sm/HnRCn3nQHByu6vokZJvF0c08yPmoT8rZxHXdF3ZzsxAH2YVll6KnXE9XU/GT
ojCI+J4uWMmqgiN5AeX4A7kveaYoMgpo706SckfmPr1E+oCfCVPu42rsvjU/fWeO7eByU9GDwWCo
mARZ0Dr77jo6LNTG9hQeOgY1iMwWsZ4yutIjx5Owyzz6egqBkMlAUl+HE6nnlEVPLJNSKD3RdZAh
y0ArMWS7o3EddiSh1A8Y+NZNrGehSPhMRXo+orw9uPH1zITJwr/nWzJImXqmSjm+jqGes/zZjzFQ
M3tJT3Q36XUgs4O4/uU68fhKsjTfgNenVMooPlK3Tg9qdF06xZjt2iaizXVW+XYJw+oSZ3oILEUb
s8rSo2E9OSwXGh/ooG9vG2XPP4lzif1E49WauxirNcbKOkjhNppu/ZYGkUnI7dp6snSMQLQ4cErT
oUY+eA1pM6BLj2EiuR8nP3pIdaNKXFrDg6jD5rd9LVzh9ls9WONgBqwg0wRyVGScltTuahwabOY+
0MnMO8BYeUweUI4NRQHTcisHw5YbAq/za5pk00sWuqm3CSkoyAEqxGiVKmG3iUL0AQPBpymMsqxy
G1zbY5akT25pVAYP4xh7gzjbT6u27APrT/eOdquQUFtnttTQgIg0ub9pBrOpccxBtwyUq40PU1C+
9b4pNg0a72a8YpsRPweiGVxjV5HmOpf4xN873FiUI7o/qqryfsdDu2uNcdxCMWLF7GaJfIgUiR+0
9SsqWjJpmqmhc2ld9lBYVyMDAWUmJSdsdoaRxb9UK7DCNOboiVWFrNTD+e2Le7EUbQI40pMEfTW8
urem6ZzSGQjzQOTyDRoNoGsQO1iZSHIXz/JPKGxTFg+yqYKndNKo7CyGmu0bTm3haiwwiRVYpu8q
uzcePWqwGyxfip/HdtHGx7JmU0UvoSSkuIzLCxk4WrrCqvDKk1tazpeQk3tRDMMbpllJfk01h7Hp
KWah/pmr07JEYHuQkhkFkcTcbGSV0VsRZY/VFJ7LLDJv07L26buJNBpocDdTbbsnx/bkijXsfDKa
UDxgvMnv47BPMLeUTnoTjG3JyqJLYcsOffJSFk529oIsY/Avy49ySnHVeCOfxcwTy465t8SfUTT9
D6vJWOWJYkpmCq+G6kmmLPEwdcziU4louFhWgTMEwCI6MJu9/nfkjOlveiGXs9e2WC3CtAlP5Bjl
rZ9bxakvneYw8Uiyn+Zvy+auluYNwEZ7F+L3TXcsoMWpcVVAcGS2T8Ir/JcuXJibDeSTCR/VV1EE
ywMO1uXJyHXEp+IFsDJaAPR1Q1AO5nmKo7/p2p9uHC+XSBDKGZ1G/pjgiX8wYZT7IE7UUzKJ+ylz
kr03j8HDzG5zxa0ioBLc81rcdQHNNKAix+qD9P3IXj8i0qnc6ZUlIpcx5NvxNMTkSGIik/xS8PO+
jfUIYyThZKdNooHJFOHGOtEFlNMMMYXjW9V3NIS78TQ/pJmVsNFpxuWbbaJxF6Gh3BkxZUFVhUMn
DqLusTP1P2INjfhOCV/fLK6tDo3qx7tsLAjDNkDtKL5XldpwT8dFEblgPhxZhizZVMyGPhxHwszW
be1OAzdYFR2QkdJX1fYYIUCP9K/OHAXHFPzkugBzOXKdIra/TmaSUJPTLLy5LVhVGqJNvYsl5895
xOYTI9a9ETnk3lSUgLIX/m32WWnuszbigrpMM41wxnRh0eVBTAub6S4mMEp1yNBcuHAUdxahrcsS
m3nHUdrC4Y5Fr4sqSkhZqyVW/hfB8GTLvcN8ZvzMen5vHP77jlfhXWLgwqZnzhv3nETB45yG5mNi
Oc7Bcb2c3EM+Hkm6Ll9GEpAwNpAnuVnXxVm2Y8YLKOYlOzQRUZOWwtPnRhgdtXVzHd1jP02+zS7O
PnzQXL8XWw17zAke9YJs0ijOHT5FS44GKh1cWtuuqz3up+bU+xiNq4VFZ++Y4e3Er2lfZYN6jps+
OKWBVz+3jSu+7ELW9O/GIMdrhfPGUIRbi7AtX90cCva5zKuIVLhFvg8Gnv1gmw4+yCJPJAhfxY5c
BLEOFCeFdws43IjBl3pN+WBH5XjpYmdk7KNIea467JWq51assqzc+4Yw9/y0HWmaCo9d0nXTQydD
Z+cQJNra2CWsjSuW/rEs3YCGVgxb/d6sooGieyFNEmDVnxCmxcNUVOqTnDstMQmL3l8h0XB/NYCD
oaE6WPDJQE/zLjgeh1vLMNyjsRCRWvdU1H6nTVn9MBtfN/axmDouUmKn60vXfo8kJQ9r00jmSwbP
4bPicTy75HT3zuD0B5ckmFqJynKOmTVmLZlSB5JQKy1G/Ejk3d5ko64AlgX2kQi5c08+tLxMrkdw
BeeofwiT2aP+K1+a52QQ7Tnj/KE6tci611D60fPihd1tTWfSbW9lzkOVYgtbM0zqHsReJ61NVeMr
asLyy4vt+tDX7FfdvuH47Fw1nqIUk+kqx/CTUrtQecxRA0pOmA4Lex2vo3zEU/2zLzxlb0w1FId2
sOisLNqF0bRQv7KJHTmfy9nCPzwY4w/uQ9VjM9fyPTUmv1m3Ram20soppswn8xLl2nAKv7zaCcQl
/EkhupXBXxCAJVP9Jls8ZL4eNO9zLi1eW9g9G9ZHXXDwcaI8NxOB6saLsSplEMM+Srarp9KiEyRw
7GKgTmRol7UvonYjec5ABrQxGxRiC4CR2ZViUu5M5z52LLtO9qquEvLTiwf9Hy9R1HfOaRkd47E0
rW+KPvnjerCjcP30FIphKsDEq8vOg75pLxGk0bvYcoZ8XVnm8DWxWOWAs0EUbZpqkdR9eQbATWsC
v412wwc/5nt7W23cpB6NmKC38TqORp6m2QUmVZrRcJAL++N17deZvPGd1vioyO7/f7B2/muEe3TP
w78O9+yH9zF9777/E58JX/e3TQOOEBvnIwQx0zcd8jN/2TQ4f5D7cU12DZbwiPMQvfnzsoEGRhsC
r6bzQL/BBPL3sB3PJfjDP+oHbCSETuz8Gz4TX3+XfyCfBXhcHKhnFnKHJyyXQNPf+0zGviuDvihi
LARV+wj7s5QbUpjAmjdxTGiGXOSMz9oL618FgO77+CowpEOUX5jmkR0K9YqrGyHCLGb52Wp1IksQ
02J77FjRoV0UfDUjD3pGYzX9udMax4iFby2vwgeGjOYRCqDHTlgLI243bbjobMYiyW8GrZyYWkOB
g1PtWq2rFFphgaro3LZpGR6U1l846KDEaE1GjbX/K0OmmaXcd6ODRTr44SHjJKz5VkorO3aXEj7P
q9sFd6byuPHbWgvyICnfWlofyrRSxIbE3cxaPQIkjpqjFaVEa0vgtvCG0/ouidMW83ou0zdyHuoG
74z/cwEVRyrGrnAAYzb0tIAVaSmLhAeqFozDSu6aGrErLgJ0L4p57B24fGKyuALYwD800tga/bKR
Tf00JgWn0XSV0cIim5/Nq7hWEPLEtnsV3XzLzglACxsxru9ma1jHWqNbFoFap3W7OO26U6C1PN9A
1EPci7TKR1O4x74F5Q+jQ3+X2AVES60LjlHpnkatFdZaNZzsIyTU37ZWE5WuXTKIfGO2ieWNpVVH
pfVH9vwVTWVWeGqifqNV+mHdoluyNFEPRcnmhEG73xta3pxjjX/1tOhJCSlhVmcZtrmWROvEGbet
lklbKjY2kZZOIVYhjmk51Ra8EgstsbbCWfamll3ZGXFQeGOzG7UoS5CDHIoWalmGc8SHGQxZLeN2
qgZ3qaVdKwLtD8pnXhVa+I0MI9+nWgx2OjghthaIR8kYZGvROGuLfWu+BZ5fHGjNqndKq8uD1pm1
sHczKkGnBbdrXwvSecyUmN0q26t/ekkwfk1avWb3Tt5TK9qRKDi3HbfdwVkjn4xFOw3QECbjvu0s
6k2opDZ0h2HeGNnW1pI5RFNq7LSMbmlBPVgGtldaZGeQUwdqEcyXVLn986DFeKll+UEL9J1poTpI
UD1avG+1jI9iZehMdI25HZGfRqIPheo/o/5P2gYQ4gdoCEkTyfHXtBVRsrW4r1EaNt9NTuFTBHm7
sZbXWeHoFta2nKaLxxXhxtU2hKGfvbtSWxOkNimk2q6QtX7wCC0fZ3Y8UzriaWNDieESR5GywNTx
WnoIwpl5n635tsyqZU+JPBsCsKKHgUTceahm+y7p3e+aHcGxy4zvJk0GTAJ4N3F+hAc3fTMwE6wm
EeOhGXP7GE+l9SYHr7iZpd+vsniyD3Um/G0rZPnSyjw9egSM7y3KBcnvT9b41i52+5q62QRJUW+p
XFmcCAiGT5YXtXdlOw4Y11q3Pthkw+5k7ISAyRFy4NWWj73t99QMzBm+mYUWSy58ByGxc6/nXIYv
rWn68H9Ftq9wEB0KDEcvYwsSSdGIMFafS+OrXR3w5WYnJybZxH6mAaSvNo5Xqe1IicDWzInUBOw4
hjV09nTfVMLYxfWUHYMlLUlkFAZUawVbwQ7ua/oeDhOttw/QPWAcxVXYr63RAuERD7CFauDjQPja
z6bKxOPUsxZj4oeOW9We88rw5vabihd241xi2gZmr7rBvfxhds18Bw92OOeh2f2EEBvxee6jz4no
8k0uRLvDiaVe2buTQ9I2MpJ3BUGxPKIYNKqgmtAOQNs0Hmy60HxVZBc/tDLImR6ooBynR9mf5Ug3
dVJxRVw7QV4dIzoDb0bHbTZUM4wn1H/wGaXKjj4p2LtcWR5koMo74DaWO6I46OjW0ipUmsZ4sb1c
8CPHxMTsLsw3cdfGPnZ3qitYaFG43rsZGLmq5zqYUvB3SsuhOrdz6j97FI/MEe+yJHiGi1nyKuwg
DliAStktSXMd+zl42Tl3Ty37L+6BFKTeTcvYX1KYJW9t5FJi6PiU0AUuz7yh3cDCsMAzB90Jy3hx
M6ja/tFag9pOngTyHaGHU4/gPQ5WFr4NcUPXopG77O2h4JHp8zFlfgXKJBEBJpDObqv1z4Bxrd2A
df2rwa4HQyhJDqbVih3cIOOzQeY4LKVPqqlphpwddO7RfDiat0aJ0WNVYzLdsHysnsB7dtCyqUPF
yM13XfMcVlA7xrkGWBmW3+Vk5odQtUCwqLFzfrkZSdIuGOl+mVjGvBZchltejE742yq9/MkvcuJr
UWF0G5/X3mFUcXUmTRnfcihOd+zX4Hz2+tM7d0bNtrOILPr2QiTO1PGI0ACxwdiX5/n84AC8eVAR
YzQTRsuBxJXtnmtp9zLByj+2PQtsELH+tgtn0JayU6+15dW/o8Rr3qY6815mMyYxZmFR2FjEbR/k
7BIqiWtOyHoyuZ35I/y4bhnto91H03lOKZAijOk+cdXCeQmWUzyFKZcxjDNguWUe3xEYc+4qM8TQ
N6qQ60Db82rt+HCuuUVrgVc23QfBIckabuljWtgZO3Ze2wTtJsqi8tDIKd2kyBh3eULnDCyp/LP3
yZtEflS+DENt34ZdI/gZqC9wiRbsfdmmmyCTfM+QqxoThhk5B88d/WOZDuLQo7Csp6GjntQa5/AV
PEJwZG6xYbPn7jsJYjraRcDKwcc7d4TO32zDBFLMKpSOV+zI60bHcWrcc2+q9pwXBY5WBS/oyQMq
chvXoXjJe9ndDcY8U7TkcWbkXZo+hm3gX/IytpdtX5dsiDNARo4sQDvIjo8wgA6Bm6lzjUM889Da
mYBrxRiBu5FkuO9Dd3CHgQDi6D1HViM29Rw6L7457GhmqdZVWR65BkXvRRSQmytkeoQ+IVeuOZXb
JuB/aZXZLi+bMRQ/uap3kOIB3geGbRKnmoEYkmxK5kPc2MaRYFawa0NEm7gxbIpT7eI2xMH7VJld
f2JcHz45pOnBoXLi2DHh0fyQ1AwBYn7iXXWBGEfSspoPPNHZQ1WV3asFOJbU+NXaZk/mQZSQ4Nop
yZ7qus6xfA7ZfExRvjd0q/SXLJtwi/iKKzhW6hmrcRemP8IWI9SqD031GMsw+ozAQH5Ndape06GP
7424Y+xtcQxJ9Lh0KH5kHAnpayao6F0my3zur729pG9fbZp8J6E7fdkvpsEazgtdvyNs4V+lLgD2
emd5ULoUmJH5MzM9/8W9Fgbr6mAeKFqEzRir5MA+6o1GK1qGjZjCYW3GecT1Wd1RDEVR+7WZmMv0
c+5aJ/iZd5kuL4YsikpVj8eF9NxdqPjTu9e2Y6GLjw3fkevWHpy3scgnPs6OsYuuXcmhrk2uBIlk
Pt7JvOuIrd4vaulu4DFzF3AoXS70O14tJA6nlErmqGkW/JrBfAPuNrwDYZlQz+TOjzWLBU5yip1d
TEnagxab+67Oi/VYWsRVW8hhha6FFjMF0SyEivuJNeG2BrjwaFg1H1pbl0rT7jXe2ANF07aunAaH
u7yrpK1uE11InSLsn9uJl0vg9e5jV/vzF2vU6L6SlFmX1GWeh4VkC7Y4ZzO2TDkp5rU9EKTu0UtQ
ByCwEJHBfvU46MLscRim10QRluP3ohu1STDAVmnzgKZtgFfljelj+13Huoo7vbZyU/NLFrIGbLSy
sY4y8UXJvaOrvCF5sfAQuuDbrQMw08SyomNvdv6jdHQXeML/8D69NoTHrZ/sUFjgPmLi+BC6SrwS
Q/tMX7T36btRT+uBGW7dXsqfxlKGr3LiMA10RTkb3PBej7oggLwmf+dWNdy7g6JZN4mHR7ek6ryK
x2nD3hQRgF7yVXGtRGca/Y50TbprO7TM6+r0KFvCLSHf/JAksF14+lgZVcuycymaW9GwwEdH0cb+
3w6Kf+2g0BWS/3qv8R/dPxOE/+S70F/1t62GIEaNQ8H+q0/iL1sN+w8HF4QfOja+Be2h+OtWw6dd
CM4rFgqdkbEdj8hLXw8y+V//0yNyg9JLuu8KNiFa8+8sNWzsFv+41GBw9Jirff5BbHWsSf5pqWG7
ljlPsBzGqsuajU3TgnUmsiI+htEN/N8Oo+9gEmIQ6XScUdUvwLRsnQauJup8wtJ7c2dfmOtItuYv
AYf+t1GbMTvQBqvY5JJ5mMp+Y8cJ46vVqANxQuhHsWedqWx1fudW434RY3GfPJTHzRIZAiHJlxtS
3zEXq5yay3hpkxdEiJ4MBptcwsnY3Tkd1K2/1MtNBh0WRW0iol0qFb+2fsiAn4TlIzty7PZoY6dg
7OQdrHoAfGE0/5YLb8SVC7z3sIyzfIR2oul+cvhqndi6RUOQN00Re+vOcXpYXqX4XbtuOewhXDIW
OIbcFUHb/oAv4+6Fbab72HIPkQh5aSKGjNvAYT3JStG9n83QvA0WR14MqRbaf1P2jfOnCN1pOtIi
2t03UiluXwiLOJsz5PTZd7tdDW2SPqDI/uID9CN2DMLpU1jto1hHSnInuDi82TY9d7995XWCsTco
8+OcT1j2g2ESeCwJS90BC1QflKXN/lql4Xif8Ha/nSgQN9ez2Y43CxXooOPD+Xcd+PLVrnr8mCsn
qMQBvoT4PfZgRIlnUjxjt7n4WiDMJls/dMnZZhLeUsYaY9gPqWHfjqrFlZiOk00tlDH8CAnu6h05
y4VVYUCoWtXmcmQJ1O9CCDMAbsPM3JBtGZ49MC43LIvHYwwt/rQ4aXI3azRyy52ygtOnLHvTptU2
6SSJ+aCfz1WpnKcJDtsjhqOmfAwN/I+rsKIHAcaC10y7sYnoPw+sIuYcyDxoLtasJrXOk65192XG
U7syraJlyE/O8CeL+2aZ2w/uZeXT3Oa4SIbyHfDyARG/u5l10TLn8pdn+gWtVKy087TfDDFBh5j6
D3MUBLZ6e9hR+e3szNYuSPqmRPiVK16SoXly02S6dItctjJK5WedBBDH0HhvQhW63yliI2Fg+gwg
pyTOfWRLwgHsbk6pzdrHFaWzBV8/7js3IIvgxdU20g52Jbt6T+QZN8VgNu4xo9FoQ5ngcoMEifDW
V2rYcqtd9inQ7R2udy9a8VBg0B2oqFn5cysfsYhid4CPAL4gTX/6XZMK/jwIkr1p5esJNN649YVl
fQi7bW+TXsPgOsfqCfLY7S7FMUQZ1kyy2iz7xwBa15HFbbQP1JDtoOgRVq+UK7cpXDYjis8eBYso
GQDVptynFTDGIRJwCdr6kwPIQQB62cWm8h4qLnL3aa6AHYRsxEyWMMYwnCc3lAeEIio4w3k6K1I/
O1kR98dXykzbZjCQsZlqJ2bh+hvEJyq3Rttnqk7bnEpI0S4/8JCM7CRncYoKtDEjqsrnURBeXHX4
JF5jJ0n2hAvNlwWvChb2eN6WDW/JuvDlA5gi98nGfEagi8XpLjMNIIQkfJaVY8tLKiSdkey6L4Wf
8auCjPLWOpb3VTijSVpwxANB7KDjj2QBCCht3WRt5Af+ruYvpjSnAD2jTLBxcWAdmsqKD+7Yeu8O
X0r9woxmTyyk8VkjYBNgNvEN9d9nPVBdLl3/1BT451MbweFfn/VoGGn1f/73f8Yo4+v+ctp7fwSu
ICVrAs4I6IrmNP3LaQ/7X1gc6cIJgHSSo/3raS/+IOvhUxfAiR+4COR/y8paf1geUghzgAnfDMfk
v1Xe4glivP8oYTBrOI4tyFBZrm96/yxhSAYA13TMNR8aRUIibOijY93fB8+t7WZwupVPRpQ1Q/5u
+FGwMdnR7/vaGr/slhj7Ol8Q/s6JrcvnzJne+VCjDNvsISBhAEXCo6CMICg7L9JBjA4HRBUfHj03
ZUi40VcNt8Fd91RkIwywEj1TuplVHDeBD/8qsCEd+sy/OKFzkiyVEWGVA77eWhtjSThXlULl3DRB
MdCaiTeIOjykvsJYKtL+LvYNMwpp+LBAPhGUqpAd4o6WMjAM3NbrsqIpFRYQb5EJ8hGLmvvAn010
5qB0L65suG4Jd1wIHI3ue94Hiq/PaFSzWbZtMhhr91GWEfOtaS5YD6M9HlsgSOdK9AXdaPZAYUoO
2u3dFIAWa+ENmxIr5G2cLtV5cRWKtmOEeDMqH8vKW0vP+NhvZtOhSVBCRKjW2Zxmv2eFiXoXNE14
D355weWQ9J9zi+linRJlAEtM4P8hdVttZvKikdU0tGl60Yp3o0n5K/gqcC6l0YxnRSqxOLLYEfd1
YtdfZk0nKuvWqj/ls2mT1vN0JKw23O/YqER49OhZsTfSo/jPtGJeXMMMBQ7SpUwD0jEDsjEYdzi2
sC/Lz7wlO0HlhA/Eo5hcQOtAY36hos1MZYNkwxy3F2n4bU23l1VuPEQH/mZCDS8Z1Qsf0JucO6OO
rHMveWZWoxNFl8lYppHtPlViEGW4gLpG92OCMboVSkywyZY8addNmY/43FPWjDjtwTc1o+nf4ieN
NpAxcXxZ8zT9NqakeBXDMuGZFcQ2rLxr4PCW5qWTBXtwq6/KG8sK8+9KANpWAeXsK93zOrD2d6Jt
FYrlZvRn93D9TknXu0+JcCZoN5G5bJ1Kit1oYAKin5t1FD1FNdXm7ghVmfjpOSLTcEvRuvFWSZsl
TNtGcbwKk4q/JOVKe/7a8PlNo27W0WJb70mIq4yPPZTckJqhR9Fw1QVFUnXYd4gjUHwgRshhQeXv
jGHqw41FbpMdWQaN1p2Cee/5Pb13teOgnHuwepQfuJc4GkbQfHZnAlLqh2LveXVHW3ZkPHOvj35M
oE82zsQNgF973O/0rMR57TmKveIIobUzy8JczUm77Aj5wDWjfOfglv5wGT2FLKXqgmr1ASyQygt2
Egk7SI2LjgF/exlG096xwI65Cqo94iRSCnbNzQhR7QJEtMUQ5mRdtlWYko9hRP0AVWvs7MIc+BTl
FgnjcVg4PFxJMJtrgaR46RVpHxbUxV5hBTmMaF+vNl0OxmrMovk0OFlzEQXVcxh/2k+2INgWoPv7
OEMGz3yN5sLd2RHsZthGw8lP2u6LG4/LZjROozW0Y/O74w0nVlQsdQd7Go0ffu6XZ3uM5A3k9zRc
97UR32RGnb20wWw/TEAU1nGFIrGybGLOBGpAwKYGUXu235DcsJKvTab9YTWMviQXXWD18ERdncpy
4Fpv2x3vPwxv8c9koJYvYhnuAUcK/EOg+py1BuHfvQ6n+VsscMkGZjk+S6SBExtUl1hv49wn3kSt
YJAB30/CPtiyds2+hMpjg9+eNTyLYSToz7yVb3sDRVAUYrgJ3bk5eO3Yf2PpwSqmsoKcetQph50Q
HHAjTt2fpAXZHrfBABohMxH7pDoFbEfp8fRBA0he9LCpg/zSBxGYRhC0e2UE+XdCOAtUJU8OHJT4
xpuN4EaxiU83rj8UN8GQLvsmNocnjF/eqVYeRYCidX/084ghiTqZZl1GLhnfyPDdn1QKLtZ2VCmU
YS/jxb1qISG1lFJgOCl5GwugXtz7yIFGL7R/cIGgYQEY+QbAFZUz4YizpSgFOgoJCkQVorDZpdJK
ywJVDvDUVYAJQuxh7VWWKaWDRBNotabQug1DJexzreWEV1VH6zuZVnosx2PtqNWfEgxSCTUIxfwm
H/z7ydrLq1xUXpWjq4gkHBJVtVaWYq0xsSBId2wOGXG1AoUPoufs0bKU0goVrQzgu7VqlfFK2nBt
Lve0iGfHMDeMna21rtzmnbsORNWvB62FLXzGtuoqkLW81J8XrZpVWj/jOYxutIbrGs3yAs2KxaDW
3fCm+TuuX+HLJBZMW7TYtgykbXtutGrXh7HcKK3kjTPQ0l6re2U2zHe+VvyKq/hnax0w04pg1THS
NlolBAs5HRutHLZTNr01OSjyVTtW9X3bB8mx0Wpj3EX+1qDYlwcCqn6vVUnu3dZbz0LvqLRmuST8
RkX6RgNHeGD1C4E0cOWePeZv0Xkxv4ngG3SGfTdqPdSequGQYvD5bXuG7j1io0h3ovjOtZZKgD0/
tmNLlFxeY+XZkjlHZVmUTTY6dh4yV5wsOMrhOtO59Egn1Atsrntqw/ZpdfKGlzqrf2HUpIAlPA/i
Ib+G3ccmSzZGkZPr/LZKFn2W9JfncDLeZp+svD863cG8BugjJQN2dNdgPZGMCD6W8RGhyyyBeiJi
HvA7YoGrg/nQ6bMdq83wuR8DXi8OpWfFbCXbZOnDF3rCItjIOURnz8vu40gZ22GEfNyYoD1l7dqP
gTd1vylhsbl5RhKP1kJsYwTMRb9OfU9UH3aeiseHsovNlaCwAlFvEavSn25mOht62jb8nJy4gSXb
TMoH6He7OSAY3cTML+HRpZ/HxB8K2Dw95k2xvGPH6jdMd+0upH6EX9ECdrPy3vLFEDtz+C7hpoA0
LNJOUmsTvbd9E+4qT+ZnVbEDSjQqWhiyOzFKh9yU+mlrRgRcClwha/7fMRzAvtKOgX3mFXR4gLcM
TcDgjpzqMzNnDoHgWPRmcCeKJIH9UfEUh/aIOwL0wp7XBeMsrTF3+tZny+lox3LVacx0Cd9uxW4E
7PQg4fcrN3npnHHadSrHYx/KhiYFryEesSDLGNC0ljjGK91He9cGtLmY69H0aqAPXKDRfpIe6ICc
FQhQypYCIA9BvJ+9Xu2XHhhb3ZjNzx6r8m2JK42HvmpeMXHjBw9mHHaAMilc8IOszgGlDLXaJjxB
Ctq24b311G+/qnDY1fkU4PcRVUyNCXYEIuMcrys/ruIMXu8M7aFWPSmoafopkqoxVjjG63zje1QS
Amuo4GDVrJZABESTB66laZ653LZACYwsvzXsCr3Km/ybLrMDOF98BCmWwEW/q6OOA2GM70g4jR/M
1PbrIqN+D9a0342FbpnpjME4ysVKfva9Q2QqNDnxSiz0vlEfJie1nmIezaOnqvinW9M3c1PUZo6b
u5XGGntt8CkQJZhFClKYEZUodwVRyZJip9aw1vBqIQuzhvf2ZmmZFzmaRk9drJv4xyiWVkFGm5Qz
TVrpKXYcfR7zSmVZMuFw3eBqdc40yRlQ86L40UNSe/r3V+b/NWyANnvqf32F/tPVW9b/Y/3OVfG9
+H/tgPrr/3yV9p0/uAyHZoCpz2FBrctO/3KVhgTump7Df/PZNQfW31+lA8c3yR6y2SWDaFt81Z8X
584fQKJMDIEicCkYpav131mc4x7856u0yVKfb4+5EPyO8PhOf+8GzFwhc+XkNL4NNnThnh1YB2XI
1ql/Q5zcHNYvPo0vr6EurGho82prQLuMiFB8Np07v/tWtlkMEgczG13KB4Dg5EASiO2gcM1vCyC5
rsK6RkUPeiqwUcFiUcdV3HOoh0h8toecde+6xI7WUbRDnmLls5dd1ZSqbKImeJEz4AwnMC4h5l3w
KAJnl1jwLJj46v1gonYnoGF0nEEadpJ2qxBI0Grqh3bTqcy5ZHX5kEQmrpR2PpdmWR/QBM6By4BC
T6C/wepE+QgMyM0MJgGXRMs1nL5oxgwJxS+X311Z3S+i/AIKKA+2oGQmcei2xAh3sPllHUybEHjd
kApXdAey0T4RkwIXYbeXae6oUna1PPx/2TuP5GieI8tfhTbrTlpqsehFpyoJVKGgsSmDTK113maW
c46+2PwCZA9FN2eM62nC+P8gSmWkh4eL5+9d4wHSjeG7ge2RGsPSooYEnGqq0F8nLEX7ClLNoXWC
qRqegfKTPS/SBjb27obBCsVLhyLe9FOd+HU8M5XQIG1iNFkdGJJS3ywy0ypTq0RhDLsghEbMaowa
KuSjwjBbVXWA6qzFU6X6kmTrS5WTj1zHcaM7+qGpqkPCOIo7TuZOgZnEXVK/HdYTbKJIz9iQeJB2
tgMtYFPpAGW3neQyBE9f0VK9aq7O13aqfLtxkIRaIC8U7JJGVF4085oc40rpN43SQrAA35eXVvW9
na2Vl6b6TWH2Q2hWJEsSonFMU8vxRp41CAwnsNJQlJCyTjadxET2JlmnSNH/tI5z3RYoQLhDAzCq
BnQbVDm5o5a1r/DtndHxqQ89ARuCbNHLlBfthm4MANdkIFThhQmPwciMSyTdRD0cNzBq0jihimzD
koiYSIHGInmUx+giklVy/IZe4xzYkhREMWCK1DDvsrbcA1GCjFrWG7RXoaqge3aqi/nGkq5QuOvF
Blna6uYqJzt0m2R3lbH9PgZISiy+KceF+rR5iOZ52kxG78NcCbt0y4JrecrcQwrjeGFkjTdX68Uy
khpy2UrQBWvKSTbMDliQuYFGIXXhqPXpJTDkCAAmaCcIihFkxUhIyIHUI4vEQCkvgwQusl57QMYW
Skgky7Taoc5Xh227qDeFVb8wmfAla+1zuWSAcwzlLda7l2UZ0NNoL/qIrLdOjQTGU3Ruu5nNLMFG
rVP6Slc44/MivynG6SKP0nvr5IdigOgisXgg7F5wqo1BZ1xf1Si/oRSX+4lCAaIY5ZPaxN9U/Dj9
I59qTeZ3RgIZiLbJ09KnxbPpyhIuFAZfzGTPPMhBc5gGa5wwVi1gDDTzcvSCSkfzjYEEX2smkIMN
NL/r8lbn/Udd1c9VRBGdSnoOiTMaJJpY4an71haHfbH2VBTo+VAwe7VL6aHTKbNfy/ygwE8W6Ep6
0WoQW/KMCBAAWyicDR48SbKrtsub0ka+w1jRFt5yhYoKmeeoEg9axnjsO81APGT6zHuD7kSxUSnH
MPX4xZRf0MpS7Ta1czO0+W1tdF+zpJIbOPZlGpNjmkC6YDPfaCIVfc2B1lrJ3pDG28WpTolV7bN+
PhBG3qMXCCsrCBQvl6KY+DtFegG0MEIP+aau2501NAzz5epTNNJ3NOKWkVL4wGan95N4uU+n9Im9
TP1yXi5GpN6UhrajckkBxirGu5FyR5KY6PMBNNlL7cRgudLBvyzv9brVwrUBSaZGh3VxTgxgDuT3
jQkJlPHdzPFeZrLRLWYV8OB8cvJh8ob0+tOb9HKYK3SvdENV4AWeGkp0AYEgjUjzWAUjnQWos3qh
NVVL9XBTrtR15SbfgaYdwBvrzSZVoAGfjOqtknR8vtRAmdslX1mChmLipKY3p/XdQAVmI5vXKyy2
EHTXZA8M4dRCaDA+dEoE4V/D3Lc2GLdjBvdqlqu30AqfrWWV/HmKnudptH3TvN6TSj33QB5dpLan
4BobsNdaHThxzbxMipMfG+3JsPrHPhteayl+sUwlDyDOUlRXVbJ9ATw91OnOYiFWu9F765DU8Jjm
YnIVifEtLcHqnK0Oubw81nc6QUWA9M79IJntLZC33oMzZnk2szbalO00HCPW2Z+Z7T0CU72Ckr/S
qIMwmgRzNzQjsraGVm6WSSshIO1PkbZEjwj1ndCIqOknTxvENQ6M/a5fQLMhKbFjWpPtHVSq7zCn
uXDAfUU2CdbKMF0/NtpjA3XbF64k/CWNXySQnPKZBt7sXW36R1A/076NcoqCkDSlx2zI79FFeIWW
HILDzDqovbFl8M/264RCkryoCrSPTGcZyfa/Y9V/0O6hN/OPY9Wb7/79v4hPec5/xKfKH0FNIEVj
a5SJ9F/0xl/iU/j4UIDWdcYgHM36CzeGzriKodDPkem9q6oC9el/xKfKH006QDRmRH9GtRwmWf6J
aRVDYE7+ttWjgGZS6R45TB5o9t/L0cw9bXgrckpfxqonD/o2fY9qEr5gTEVb1O4ovnkWhE/PcCnS
nuk0jM3Bfn/iyjaPMLfV4xF+gBoQ3VUA6kDCRedZgOwQtEu/YgG8o1a5XOIZ8KXLDGLyUAiIXikG
8CDwFMi9jH18NKFj5YQB2FdpBhi/WsD9NAH8S2Zd3g6/aEBDnEuFgAjWZV58A4TQt9CMyAz4xdWr
xIjcqRYwQzuVVh/I8wggXO6IJIAjMkSX3zIxofqJHLUn1co54moAjDbN0W36J1QjatJQjQqwY1It
7RF5Uf0FeS+O/L6OgS3QcAiSAvGPNmVwzGCKeIcAZb1RgI6+g5qPgnSZqmdQLLpvIIL1OP/iMLmt
LqH87CJHod8MZWFeNBtI3jjYDvH9qvoio37vEWgLNWPMHi2guTtzQW+yFQDQbEEGLLAFLDRvAYim
yFRt+1/U6GCoXtxS5SmtD4Sri3DsGtTuu9gJkr66JH1r7nsp1e/tXgV+2gskqmUsBmQaoFMTxqba
QGopO+iJCpWnHOPPmjq/OFU1+/UvxBU8vfGeyCPheKnCpdAmc8IgNPSppjNkT5TAa2+4Kvo2GRYY
V+XrYSpVGDRBkHzZxAxgrktkRkwBt5Ub0AY1tUDOenC41xZE7uAs6i0S5OVTBv+KJwnkrl1n+iEu
QPPC9Jn4kkD4Gr9g38aqqpBaD/Hkoi3AgYG62j8wbdKnn1ND9GayVELsg1llmFM2jgaAmXrhp1U4
8huCffjb4QqvapfmfrQmLSRbjsZKrPp9PU3Jrlca5q3yikpibWa5n1fxfF6rceTPAt2MVJ390y0C
84ycKLGUAELPv5joUcCjnV+g9NjUP0YPeLoRMGqI2axgsZd4qzeZtov6sX0CO2WeDeChYLAFHBtY
FVwFAqLN0CYnYd7PILcjAeKmaoVo8vonbLdMWXf8RXwrAvxtzFZ0ay11eQAVXmwdARJHWVCHP0RA
x6/X8vpTz/RO4ToGWt78osxz6apucwE9t/+EQk9sat0Cmm5pauXVv3h1RsFpxMI5AY5d7rT2Bg6y
8h6EbU+ddc1nFgnwuzLDclUJQDyMT8T9kLRqW9iQo69VATqvCRC9Usb9bQFWBci9raDmIpMh/uLu
LQHBZ5v3X/ovLr8VnGvECShAOD56PovRnaJBbpn3MUpw2QYcznQb4SpvO+tllA0jTCnMtQHoWxxI
Rg0X9ZZVHtDUg2pDh0HkdU669Ic8C/RGkg5PHWXlIUgqXEhYGYX5UDe1DioUTy2TSY+I10TM3lMZ
NWzZpRcPaMaIU+ayV0C9/qo418qFB0O6VFDtXTdmUl9DSYNF75ZR7CTQnWHoNmaRjI8x1WDB6KDd
yzT3tFCCCXtmxi+Z39AgMOF+Z+I4KBnTPl7X9gi/aL4y55YoWyVOTUbZlUFl3ice7Bs5LbuwKTT5
oM0SysuTFtc+2h+z4heFXv8wVaIfaDmlR9OwtBCpSvO1bNl4jIahAeTWatSem1EuziNkYW4hZxGz
aSvctFPsSG+AeYiBpxmSnrr7VAvI2JJG2TkVurk20CjiOBq9hODZAUd4O6cMPPTm9BKnGujlDALP
zD6Pa8LsFsEsCrPrgWGbKiyVHmh+WsPinFqaB/3D+KZ2Nn1fa6UMswPTDHVpm3UICSQRJLka1Njf
tdxv1Ki2FEZJZuYATynCqSh7zA34c8nqBO9ZJL1NvX7oNTsskQiqN8Il07ljgM/xLA0+p2BZoJDJ
IqYs231vlM7oNX1SfTSAIijtoTEcuTWkfD6cJkmI6FB56OoZJzUMDroQ+jo+LnUSfbTX1HksS1G9
aOZEsXFdK5M3siVRU8UCdbiD8/JhYmTBcc2px+EhC9kyPwJ96dUY3zOa1XIgKzzNb8HkNy69rPa8
xAli0a1ibLReA9Y11dfBg8rzu0YT41IueYFrvwrd3xXRQ4j1GduDu8dKzbdBQptzGJeOCchOu4n7
nk9FOeEJLLy8h9rBPg/ImyO0mU3mnTFxpPegji8mPNnB3EbtIcrUInDA0O2WNiqfoqag5qAyp++n
pcGI4Firh0S1tJ1eFQkq2WlXhQP9/y2wBXTgprJumEUZzX0h9fIG3Jy9VQW4rRIFpDnus5PTgUMz
Ra2pIQ3MjAjq4ZqZc0uw7VW0rnL0I2GdYSSCSUEUzvSZgZ+mj87XpN6bi+LTtNtrWpVuAFCnQSGV
xyapm20H7LGFG1iv/cbuQHibvVV5ZY7ihBjk0IOpXrRT2xd5A/+A6tC5gxlvMzWlfIdYHmWxhNLb
BsGuZnYz2yjoxK/FSPIqNMwsGTFwDwLxnNFWkidX7xr9JXbWaltOA1UU5mI6akrwzcDIpFX5uVdU
sSLKqDWeRml6tw6TEzFdeLUpz8E5W2/raqC4RoWs3IxL1jAXhF7vTzPAGER7Ixnu+nGhQG0UBuk+
vEs2A8BoShyveVfd0pYms+OoivuAs3cK6aDIcqC00visyJkNy+g1Z0KqLJyeQdvCxK7h5Mkhck0b
WItas/qsC62QvWFB3D7IM4s4Ly6mF6fSh0d5QVG1HYZ2O4wSsy7odnZEgENMJwUWr9gtEfelmdmk
j3KCc6fanykF5Nai3A5VBFQOBgQXuaA2XEeXWDh7xv2MiJbXMCAzRVtYsJfGtll4ZiVDEAuZ2E4Z
mygoMzTxqBDCVuU3EvNontJ1w7E3c+dltRjTJG/q78q+ni4VA4ZMKVplBI601plxKlHw7kxZulBl
sKn51wSWrmGaPZi90d4o1Cqv7j+f+vz/Iwyh/V/lON1qef/89//5nzMg8bS/ZECA2TQZKV2HBIM6
/F9X6BnYJ4+BioFaGtP3/wfsZv2RcjnnKqcJ4yG6+VcZkM6UP6euwxC/JqsOwJR/KgMSbYC/zYBk
k/6ACZLaoOSvWH9fodcKaUG2fPBjRR1fWql3jhJ0r0+dFVEDXppl3ctX0O4Z3OGrl8TmpW/gDXfR
pp/vFnW5fqdTQc2yXxh+Agd6AnPwbHXhwpYZ6PtlAtPKoLQL6hm9PLulTax2ZQSuk/P9R5MpylCQ
XGlQLhnSUe3iI94Igwfd8U1TXicE3dQ2co5VauvMfmjbxpwYo+8yi6jJoZAbG9bNpPQODFzd2n1D
PxohimUaL/FKc9/vAaQadK1Gk+i46GqICezyI6mmeG9YFjUNxIyCgVi8C8heUohtJVmNgwQOp8K/
VstyC58M82GgSCKo+uLCPMZ0pxM7n4HtDPYRDD3V+aaK4hDelxjOpxXM2naW9fmJFsT1Nku+q8V4
TA1ks2W5CKCfpSNazPZ77SAr0NjovFew6V9U5mkeKj3v3DGpUMbrr03so91ma0Jy19zmglMSkara
p75MMglVPdlSXc1w7ho6ItC5MV7s2GhuEtqBx4V2ws6ujOa9Y6IvcOp2/J7yJn/I4YI/8ALSGbhQ
cwR3+RQtkDT4oy2XB8PMId1Or9rsaQ1qbrGAmhdTPe4MAT+vxnp8lOta9ufYBJ2+CqB6lSq7WHPA
rudtc01JGyww7YWAt5tg3t+t0qH+SbUT+LtTDJDrC1C8hoIdVOO1wMoP+qp/jQJAv8LxAGe4XRs/
lj7q20ED4AvbIiOnz5OqD8dlzJHMjAZp+mmYPnqPtZIkGWHCmnAudY7AelAwweCV56tDQ4AZheh2
WKtqk5mtuisTqXybzRm0G3GNX8ZX3U9rZICq2VLOVwju2q0pCXKoZmgYrWRkY3THuHFQHxmQ73Ob
dmK8otXkzx52yXMvE7B5NRQz7wlkxrd2n/WLR1o3bGKzM79naI87DzieYbmNOhp04rUuyIA6ozEl
t6NbpHl+qfAG92M/modGSY1f6DlHKoVWugmM5UHxYJfLEYBFTUhDM5mCpQOtNE2aE2p/JThLuXo0
16FB5gOabPB/0EJIU8HIdUeo/LpSB+Egm/ktuAUyudhcTwlaI7SpO+yd2A6eiprqLvi7qT7COc34
hgHdumvpLIM+meCHtF6GOQsgN3qp1+xhYQonKOb4I6p7afR6A+YKo4bpunVgj0Efbr5f1jm+zdMB
YvciW++brCPAt2yVkdPFyPpPJglj31LobvT0psGhR+upM2gpRU29J5tsbmoJDonCslfVjSTASMQu
5bKRE9gDJdo/wQK0U6N90prNei/D1bmz1Pg8y7Joi1FWkddodW2G2j3THO40eXioUzkTyD1DCtoW
yH9Q0PXImPkfCsZd1UL5zgaao3CRjbFFFtST6Faw8tGZof8Hgyn5X1Q0+QvIRdtx+/g5sQfw93q3
3Cwp0Wgbt8DP6drFwQr87dDriA1ay5SgeWcu5acTjdFTOtqg90B8pp/XuF7XXZeX8IVc42eYVRDr
0Pr0wTCZVWafa2TAi9TuNLudrpsqXQT1dj282X2VbSyARh/OdaRr2klKHiq2JZ/JJwyYlaZqvM8z
CWhOq5pHxCOMF3Vcxi40SBOBQOUzxAyRICFLx5oentIMxYMsrYwrmlWv0wNVoDdaGdXTN0Y6MJgO
A/g+NyprH0WmXLjg9uu9BtiOTyklL7kht1tFr+PMz+ZE+oAC2wLogXRKUDU5tXc7RTRlgE2T+8hU
0dGQB6SVr8VVqMgMteL3w4iT0ytb3UrWOt3ag3nd6zAnCB2VWDbdql2WmVgYus5h7uZ7Y1lgJkyn
krkTksGGmK8aMdU2sl5gAiVeNdF8pIqnzt2DMS35Y5kif+RJUOctpBcOsR5lewhdu1Jmu9jImgxm
V5jo+9rwashUJDZ0YedAzlPd6xXdgOUjLR14uuGwH2gLgxTsIHgz6u8mY020YZwCfXIeMxW2fMfO
EJarJVt9KVsgKZqcokfTKd9GhJ+opAJKLk1HwSdrIvJ+sw9teQ5tO4VAoC2LkupgdHPF8EIOnwWJ
tG4zW+3oF0NjfWCGaJCiEDODXzX1bTNd6awp7fqBkkr9OMooMbu1lRRHnZuyYY5TPcppvz7Vudzd
WiXJK+G9lfqc06M3GGX01i5256dgMxkUBweLkEmZ3dtX5JavVgFoaEKEeYrXPlDVFgLdAa2y5dqv
u2lcLc+xaYP4YPEmprG0FUQPM2XspF5SEdiBO78YsmMbm45NmHzNn6E8NLcJFLaXlUjkGcIqAXQv
pfGcml0cpGpMvSkuUclR81a79JT3n7tMagC/xrK1RyRi+ioW0zhJJOTw3WWTs9dRJL6b5wLW2Ks0
AmLq0+Ie6UuKdPWQoqWXcYcnNMPvC2Z9jhPzoDdIu6Eh1Q2ON6Fdcq7baDnMGCnDdNFq7XGx602W
zkMVmCbUoP0imbdGJzFRW9oI88ZlpgWMHplvUm32b1UzjfdUECCtcQan/kipTYb00woI0pT2oRZ8
8uM8tJti1MfNVNrX0MGT7OA7pfA3SLnXObmCIo0RXWNfsxirpWp05c2QxD7b2az+NLIzWm7cDhT+
9H5vZ8gnkazBdmldT7o9Zk/p0I5PnUI3G5Mb4aSg/6+uXm/F1x9pIVka4TcP2mxp71vTKD8zRuoD
kOHon+bmbHlji1E1lUYxLVdKm+R7MO7lptPQVUqSKwzFpLnUMRmjTQznW2Ow+F1jNOJjbeBNrzJk
yJH5JsJBQcIsXGm86ndXKIrgvOnlKvjvvOQfT+EYRPH/uC3zb+1nTLv+3/9X/h5Vf/j6/sP9e/mH
fyu/WlTs/uUP57Yak6/v8jN5/8Mi/gTjuQfteZ6U/0UzR7zTn1MZW/kjcCGGdrS/IIr+3MzhTxYI
cUOkEgJq9JdejqIJ/nNDRhvNEE8W4KU/Y40U9Y86XFRAnB34yXVLtv6ZTEbQtv9NIsObC8wSeRTz
YTJie38LNeomhjaGSo7DJ6b93cZ9uFzOG5AD7n3p/an/9ycK+HOVL4gP/AGg47lKyr771/8BVOr/
8WZihOjz/QIeXzz8X+LrwuxqLN4M5p3j7Kue4tI2cWd3dB9C2sbey+KNv79e3cv5AbSRx4njfT6f
v5nH4OtDDnK/82afs86jzsJPuEm+i70kkDx6pZ52YFArSH2GZDzEeLzGi0PaK34Zql65K3fiubMv
ex/INvvUmDZJEIex3x6SzewBdnIJGlxErPnv1e183viT9oebecyNeLq7gQgoNMM8iINyA7wpRIR9
s2xrnoBIgwfvgd96UDF7qOOFaNv69YbB2qDZQnDrZu4PukJe5qf76+1Pu8FVB/Q2/HfEfNzSS/zY
PSLA6T4Sw3qOfz+5B8N9mf3OfYjcj4eVdRrdEDfsff183X2B2udT/ni3r6978eY/94/b0vvK/lS9
+Ic3zvn7bPfvjYTO4l/ftwEUAzzb3Dek7fxhP3k96/e2BIpLc8A9M58j1qh0Lys3c5O7m8tb436M
7pkP/fJ1DVKPExvjYjjKY07XPX00bufuLueEBT1ylPICnPXue+1+02jfEvV6q5e67xCJ8g2Rpj9x
zYgnegQZvMSBRfcm7x1JMVY4DrIwDmzvr3b/f2GuoMsoJfznzWHrtDkpKIAXFPb8V/bat5IzKNUQ
h/CDHKX78tj6zn28UzeUAtEhHkN10wTGfbpT92sIG8mdgRoQEi8u7tssfMIeNFz67JhfXUSMY9oK
3H0jSPudDA3IQ1H6+VcC3foebas9EKD9daPvl8Dc1zvHpSbp3iDJzj9TkO/aoxK2u36ne4o/H6mA
trsGNmSM+u0NZfYjHXsv2pIQBDLf9ccpaHcUs15agsdNuxPB/N55MRsv2TJi+9rv1mP6CkksPzGD
5lEtPFaX+EsLk+3qA0xanpJt+aV61Av96BBto8N1I322O32f3ep7aF93kHrulBcIhYcnapTSS3k2
QiNkctRXtt1GfyQdU46KP+6sMNqK/4NK8aGgPca1Ox6zi/Eyd1v9x3E2YxGaPx0w7XB64vBkghay
nh/Kvu2ugMHnq3/gm1tKe8f2Ae3hXbRtj9Ft7xtuvkM0bF8xFhuOPijuYPVnX/E/xD+SC1G8l/vT
47ChjrgpfQaQY9c4TreEFdv+HB1maOvPcJim55oXUn/4NC/Wi/M5PXXvEMAVtzf24jbvxS19x/zh
eldyp8VCK6F0irZqoHuaX/qmV4ftyQrXnXbsz9OtEzILgrEPmweWG6/VuOHDafcgnJ3zUfpZUIZl
mLF9rEMRlL4eRNwFlngL0D24bvpdc8tgH79rH4ywflC99Fzdxl/lOX2tvzS01y/zDmZeV2MtEJy/
EORTLACu864HOi+o8ZGm2+Vm3aHIftuf4pdie32yn+jtQT+YHfpzsR3usgOt0cP8UPPieELeftwt
T82lc60QcF9zac/rQ03Eg+rNkZT0TcErvfZfoOh3M5cav3JzIL5j3oIMCO9YuepT+9Vd8lfjmOLs
4B57hQpff9Qfh4samF53W13mI1j0yJXfefi8G3fFdro1n7Rjfc7PJCTrsbn9034Y3he+iLYxccd9
m/3iyTqBbtpMXu2n3rAfwzEsscfm1vRUbv1147yMx+smPoMpP2Xv8n4OgScGwudAFexZD1/6zcxT
oJO5ZFvSkT1Ig7PqCePC/v3+eL3TN+omx7jaY8JvlmAKlHDBqoRBOewTyCA84cYUv7tdj/lXc5ue
pU+TDwX77AYYUjjxnPmKmbG6vIm9rx/6Xfxa3Wqhvk8uSNyoPzWnkM0HVRuPyvd6HI/RNsGehCVZ
bCJkRoJiq/lyMPuj3wWjT5rFOUerhSNxPjCj5VtB7OeYdfeGWtK22nx/fxJhu5+I54SmFx3KL7Ft
JZakcA9fufdVuHhlNrTwoYE4699ww7MP3VNY71g2TlDor3bJnomdA0diOHMGb4QLNt3nTXB+xsvz
6hWPy/ZiS5XYPgINrskumDbwx2ynDZzxW/HJLa5DYSeyXR+Ej6m4q/gc9v/Hw/kbqUk34+yuQyfU
WU/LfancNzVgw/oz4YA4tzuXITpcGnOGrP7qf1AFcD9iDzPis4t78YHZsc24FSwO13JquM8qHlM8
SEQVDQFAFhi4HoXAgBT/OQ950uq/ffC/U+eeEpcgIzx97JKg2ySuWAZ0Fn7w3w6qdJo3qoj/uQmN
J8unFCfxOsDj7gRDpIKcE1U45l1c574izf6x74p3Gx/B2x2zgxpEB7YY25Fr8YR3aO7WnR507Cvn
0L0hosoKGAf5G+6iu+GG5vcTudW+PxHfcAnOgUfxL6LavrHt4FLYVnfGtrkTLyMW2cS35T4eLfGK
AOYtHxXyAOZldouCAygCawvlIOscAZ52b0i8sR+Ju2WEYv1gKGbdDb4TCxZjFetux8A2RlXjxSVW
EolJjAMcLZcASi8U3rTZC1/KZbg9HhbfJgwH461ur/tx54Ti/8uNFRY4R7HU6MwGvw7Rc8LhtnxV
MAERfsE/gikKg6RjzEcQvxERAtpyvDvGaYQ3qvfy9tF5pzcRGj5B8cozo+2H8Acv2DIO9QGrOK3u
6gprFVFee4o/ecMD4sHcfBEBlmESqEEW8ELgQG9Gnh1a2/H0cTrh4Hx69GJfcI82xrbai5OB9Q4/
GlZALNOb5J4eHnL/Ihw5xnIKP7AzwhtJmJyIYzhn+IqxQ40VwapERKpwDOLN+Eq4N433wQcVNv3x
xpkOnyNrK/4Vr3DilcR7SW7I4TBtKGm5uX9iH7q76uZyuvGfcq/0wNJuxH/vt+hVeFcPtk2OZgwh
gFTnzoaYzbXP/db0u5Axr0D1H9837CRCW6aCvNmz3T2YKD/yJf/ufn+kgOqBlQ9091P3c/eZOLfA
7ugDesQmruV9Mp4aiEgMmQt3DPqAghYvoxMLj0Rslnfd6j5ktsHVX3Ebtu8Eja9sqGe60V45aFvh
HITpI4Z8U93J3w81RoEN4cqCJhCh3NuJ9UVpxGNxUn90n3X3G52RG87sW7E5hMPDmHHAgEwIj2hE
8jyGf4khCVlwY4THBot5OMDrF1g7w+9Di5/xJ0+Hw1PqHXIv94Bk+JZ73QjPbG6oOBGHf20n4vGR
qE3m58HlQPHsG3G4MEG7r7apZ7DKEfhXiyUDdBv0IUqQvzH84N5Z/NoOKDUEE0+FrEi41yf+EG9a
n3fc2Fwisp5EdXxUNovYeSKm63iNCcMX+6/h8oTp5CEkYP4ZbLIXnM+n0wvSKnwIJiO43YmP2Lb/
Y/m1L6Jue4OUofv0dXf/uAaVT22GrIHrHNgabCPsTuxmLFWYPgzw7C5zY52euJog97Iw/c1bjFfx
emOoueURZDvrYewyllTYrbDczg1xWXiYU+W+wNPLKSo8KDoDv3tahFkghoRPgU6Q+EV4nfqUcMvE
JxCZ18ON5SKswL0Q1yrOTfG3yC1uIs4tkXA5wfNMksTUyE7Y1vM3nzi85O7Z8s601N3n824XsX+q
x+L76jtYZemeMQ+xVp+l+8l6NT461YjviQF2F+4U8EbNXX/PofqbVLLrTgf/a+L2Zhx0+c5k6cRt
YKfpQRjuwsrbiQzT8cRekLzLA2eB+8GpAMey6/AbcdgxHenthHmS0HyPW0Ai3rqfg9vU3b+KT98c
zdPzFJqud3sLVYBLl+/pvXl9TLcil2S0+PerdI+7y+xagRVEm8v5cuHiuO+7b44d7lvNJxIOU3Lr
nYhjIWLD34TKFpfui0/HbAqLwmRN0G+Zx91cihvkLcX+5lW+R3cnnKi+Fxcn/DvZMTHmh8JD3AvJ
WRt82hyt4+GyuZBsPzwQoOIWTXF9vsQ+f36u3WNw3JzPm09EzNjl3ILjs8mzeYXd6fTBaQxZw7cw
i4b7Kjahw3tWLKZHTgp/gPcwu6fTeMTne+Q43HqZHNsI2y/xTsIa39juv0kNDvQkrA1fyof8eBM7
+IckD1vHP+U4h5SNPjz/7G9fYe9hWX9LEg62TqjwcvN04NwLRd5HHo53vCs96/wV+WQUaC56TyLb
1tyfryftrLn8URiB5d/B/hF8kSBr7svdsuXx/CjeSAotv3gGaO7+kEQjy+RTn3OfRVKqkpSPm/fj
eXOpOB25hyK0ELfk83wmMPAHfw2Ol9TfbdjE5yNihzhNib+T2V7d1+MuDy/f59fX4PxAQ+v32Thb
YaRUNo7AWPnuW/c/JVb9+/N4xIiOwY43m/lRd9f96okP4+333iNDRlyshGvC1xwG9+twOGju15ct
rvjw9NVtq8Dxh4NwWvFj5JebnEc2B/US813FM56+oFPfkDl5+Q0CvT6MJ/yF48QHF8n9evGfHG7B
NXC+pq04LKYtteAdrEgHKq2b1AODyzl0X2/SgG5FiOgBDxrcyP862J7NWj5xg5BKJhMVSZAImIeg
px1zHIIX3/di9+7lxgjf/JfU82/C6/KuhUMQPa2n6H0lekYta/d158vy/sALhc3+9LA7uztSKOvQ
1i/hC4dFHop4B6oBUech3k2IccTp9SDOU/2HrX2N5wum9vImnM8bJnYSJQnOX8IuwjONN3Lwa40I
PP3mXQkxzErk3CeYMzyNdEF4W9HECRWKUvaGcTa3cF8YxiJyV/d4e36S8boLCcbi4fufnkQhwOBF
XsRuEL99+f1uDq1PUR0gVYVLK1z2TN9ukC+KH5Yf5/f15B/h1/tjfxRhEHoev9Y7BCsZs/Dn4uTA
fklIY4+dS9rFmpbHZd/6KgdOG+Lkfn6eDmJn5A9vN+FuxY9/fBgU1X7j/SfhqcWe7bndW04S/+ng
v9ywJvhpHp6G4Rqq+3InUqW3zH3hYIYW7PemkVi3PLvgi+ucvCbgYie32Tbc8CfMj0vnOlmRJzBD
vhG7mNjT3dfd3QH0GGcAJsFaIRLPWS28xpuoAf15LVlV8WXwM7Q7v9FYuhspuBjuAWvBvG+m4Ibr
wjLZ9S/iUNxu4/9N3pksKa+12fleak5ZPTAoD9QjekhIyAlBduolhDqkq/ez85TD5XJUODz2//0n
z3cySZC29n7b9a5F0Wtpr9k+6/Xadtc2L+USeN2az7xw9Rf/TKmKGxZ/Wmvfmr/HQFT1MCP++bLm
wV+W+2P5Cf9gx4epXKmIK+2L79v8IuNZfBIRwJ/f7E37d4/x+Oc4ffupSXTB1f6m5v74e0Sgml9p
re/9L0LgZuRwZvjNY3bi0NjfNde05AZaIgIR9sKW4Yv6jVCSYUmFqTvzP114arEuS8pbj5O/5BLg
bRZ39cGAJeH9p9jEH6wH72fwdIiGiM8nbJCIAJMizIUnsvcTh4PLfI/5csW6diSuwqUYJByu+zkx
ORP/uGViT85DZidu5sZBuuc4HQ+H93dvF0KD7xNF1MS7b/FH5iZE2bEZHV2XkyOqedvtm3fAWN2x
Vqax4/uKZbsL0zSbM55kN9u9vbkfrotyhf1Gqu2+4Xc8B/gFr09xrET5WzQtXoSTzvAeHRwTo3c4
/Hj4nNaVPcMmTRTxrLILTwyQRTVTkiZogPhncphdYVNbThxjZ/DT+Of5CfjBQMbhHeUXzUyOf5E3
R1/kzwaHV9zq4edAdVW2AOo6UwLVhyPnJv8v3mkGJo1pSleoaUDuxd7EuhFOfRqWay4cM3iam4d5
7fD8L9ieC0vHchCIhn4WuxFVCKhUhVSUaVw1fMipIYODSg7I90c0d2vDKsh9Siih7RxY21pftiS5
MzP56jfaub8PzozgtrHpkjkIMc9XhDT2xd2+cBBSsaL/NzmM74nLid4q1kCcIFKm2CG9dRMeXnUC
bFeeeETvTKcqms04U+6la1g8CM5LLzQPnue9E0VBa/f+XHZ+7r184D6Anf08IGpSqTxpvDOrJNKc
0NxFdsiGSGyZfJEs/s/jieuJA0a8qK1XXuW9LTyeXU12QRKhLFLWbGL9/D3A3r5eqxUUux5KlQud
f/P1o73ki9G6XrWj7kwt6QrdpTk7FufinG1KfpKXFBoQjvM+2aIi+cQQ2dstLQn8rAt+yZ65lXu/
S8A6rNkREkGLLbAIvdpt3WjTQC+9nZmrUdTeMXe25Far1gYewWWiYeQYBBLXlWxdSWScm6m4ituc
61VzDnfxDrFKc5r6SmuNuV0uJp6ITXnqeHHPCR6mw3b32AYbh3jINJ0rWCxeUWyqVfx2TbiBl0M8
WJgQS2/qFX1v98aLg9C693bnjFbvDm5rE2YhXLdoFyoxZOcU5vVhhtYpMNx2NfHQa+VdFbdcJBsk
GTe6V6/+9iySbNZgtwvJvn2Vi3YluWANuLzRifyEn/HZjdPaN+4akTU+QsSdvc0yvKzBne9RRfpt
zijWmptRXDWv4X1XJvEHRUH6HGKNZmR476PlvIubHq2WBeycVbmoFopbbPhId7Lv7d4Ghsp7d44e
JJt8IRZODVhGonjildiq3doGzOI8nZSH2rKYHYtRccdTb7Kf86c5d+eWOuaiXkG1zbsj1+HQA7H7
VeRPvBfv/GJpROTc27LV24pbL4xLu1KD27ZifQ3K7DCmwri8yN8qVjPe/fM85x7QbVvcoliGKzuC
FVGtp2ipHCVzc78DljMlm6KzI976Zt41d7DZETrCA+40EJ+54vZpyTxN0QTibDuMQ9LhefIHfLmf
kUhX9HYyRyIyZEBlmbvhRXqbdCvtZua7dIeaAI8CjRW3/Ftgx7Jse78k+jEtIu3VhuThFFi4jsgM
HO/9kIlnqTpw3JuJ87AC6Kjsp3U8fe9xnnvfPwVHf+B7gEBW7BbYTd1fyUyCERpZLxKdJ/ZAdJh4
99ORMJq35Y2DK9vvLpmBuH+aSqcj7+TjsCLT3/N20OtZUXA8WpZjUtx7TxfvGwv/xS8Sc7MPNqBl
zWNwQjMFk8m5CYJfPpv4mN/wsNad+eWxoTeBeM8TruBvycX22ATCj9rcsu0HVnDfbO6Fycmhz2cu
PHpE1KGtnbmyghP36e+XeM7jybHEm9xliwFH85/lOR3x95bFKi2IoomM7yxObB8Z03d5pvhkAuIH
BpEOWsTznQdcw8vyTAerzTdEzeOYBDh/1khzFfP4+8tnxbbPIh25LhFbs7wWHTRFXLbti/hrv4/t
PYnCr386seAn9oJNe4obA2dNZ69xrisHq0oWKrpXwsaISunP7rAw+TYJKhtvdbqTE7I+YlPR3vrb
bmJfCi84Y2tfe5sdieiNdec1soU1EC/cbAj2N5sri2YFliNuxiErcDYOx0XkJDzY1XWzwnTgTcVy
M7ZkOqww53fFa/9SJvEV1+qOvC3ZJ2S57Me/v4rjjemwxEka3Cv3Ndj3EROpkM5jPDFMdE1HZ862
uVerwVUDrA0CbSgvfw8rw525mf/AsgVcFb99nXiaK26O6xfdvK+v3Tv/E+lqi5mosIxzTuXLUelX
CoskCkmGyT1ghWfm3OP4YXw9YSBqLLawMbAjmCfVkR3VinxhBnisf7b9Kg54b+PAncFGIQkjOvWS
A1b3gJU6qFS+VKdfyM4JGXhrEvQroOkW6oSYZFEWe50BwHA90wB1prPkTriPPGTmXUWWDzaDr+zF
rMJq6HfFh+KPP4D1l0zR+8HdgsHRn/lPi5PnsHsozSyLdb2lBZk4hWPQFmbe7St3GTMhnyIkDzYB
B3+9XNOic20uBoSoaf0u7Y/Lerk8itMojoi/pG070PJtOMuwHOyPHEoOqf9Ledn05d03oepvZp2h
QiCd+yYWPS+/v3+Poc1biLPOMaIcwZuf2GanaKlb7Bz+iwdI8hgEwel+53tiH3LAyGwzc/V+3Vxx
xtfre0sOy9pSX0EukKyfJ8rpt5y//fXvGwJzzI928DXZ9GxVjyadZeEDVYel2fABx4Hzc+KjOJ+n
AMMjtqoh9h0V9b/jISzu9c7EoJ/avFTG3BF38c/pdBI3CiEmS6ywrql7c0RPHTFj/JtqDYtoKfF3
baWshkX1XRzEfpty7twOfZPL/Pd2UStrGkT+8yCIO8iRdlPZn/+As1FPNQ9uNfmVHbCosckoiYJr
xiFj//85Q6wam3BzXd2DE8fuxEXy5Jx7tcA13E+n1eYkLuyfP1idh2hOs7y/wogSe9nKioUVroZZ
VQzlHRMpzoTKBelW4k8ykKXQHVqgNuce9AK878SrF2B1f/Pv7o7Tm1klY0aaNf+NpjSXvWrX3csd
s+fXx+a2bPb58Um3hiB3qSyHJSwRNL1gCwaq8cGUuhNue8oAIkf5RcdFXBap+Ro/YWfO00MViEQ/
dJc3x76Iks1fDtGS4cwXoqRwJGWgQ7Q8Hv3l+rLsSUIHa93YpEiiRjCYpDjY58L6FbkeeeP6cl4v
L/vv8xIHdbP2v6f7UdSWRTWUQuo/6TAViaUV/G2ijfXrU1jFXLekWiIlXLKDyXNEI1/UWkUaJOwu
eSM7m+SR4gzFHYWtwgz7nxvGXO//0u798vK95HI4GkeMPjuFc4TXi+25HR/nCy6JdI7chwtAHsqr
A+UDFBuk2E+zA8/qgKhYuxSc9nwsSfqS6qhu/5WL99bSJ1kFdMEyLH3reMffHXEauP7MwRMMdkU0
U2DZMvNqmF5qvYtthGEh6Kmohz98gh9srnZhG2wK4hoCHWHbhfUh9ooO0eZlHVJPwEli66szDxB2
irh7SwftPTQh3qFwIgoZ4D0g/KFZTCPAYxlPjXcX54vdehVeRRz7TQAXPPXv5dnf7wlT+INPw/dZ
wRGPGGSWsEMs3eburJzglIqHKbbH6Y6pvjr3DQGRiBV+eY/UpCq+/53gG4kYZlgSQgZRqB8suzVJ
zkmUWSeaiSIRRnNIbDQCCZ7FkU10Om18kX6vL2tbeGxMURCw/cxAD9I3B6f2ixE7+uy2Iw8Pn3wP
Nor9t0EkWzjKq+zwdYa12JGb4IlUa6OLGI2s/Zc/gc/tc2tBgNXjE/AIT+KE4zc1PnJmDLNiYxQF
jiZQuCmfH1Aos3yM4MbhjUYczvV+3xD7ij9XrolSeoAvZzFYCeEJR2v1tTvshBnkqKdAfRor4RBF
+8li/3v0g2HFLWFa79gIn9oi3zqylYlyMKuaSfSMCeD9uLHVigCaf2MKWNFNgH3kSkgmgpQj2VhE
kiLs+IMcmeBssSuh1S8M9/jaBM0eNj2zdAP2oGK+1sLEnyzhckW8hy858X5iMTBaG64FI/+//s6z
53xYFuAgblJ8ACHFH8iGtcEJCbt15Cb4irNhcXiVsOMBPyztv5BRRMriHxwxns1CthYD/TT7N/Ft
caHMJlj9GzK9HjxwbuJnvspawYrPq2eusJgFf6+PhdN4pTu9o7vkg9RcPoLE0a0HW5eJbEfsWag3
lq91faw46lgzCIIJCen4cd6XvzxrYZEVrjUJCPYIWsX9iLNPofYv8RqdkE/LbQnLKExfyqEQAXuz
Ua1yscqIrtiN4vpPIsJk8GCdu+1RRBdQCbkzv13Ui+489QY80z/PhPvmJpHAcvhssZt4CsLyS8Jd
3fGPbB/CKgLzHn8nXskluOk3yZAVfoc7FaOg8h2xfsRuiL5bT548boxdJpJA4SyE3RjIa4VjZrLD
YsuLb4qUkBvmBxyAf+I7gYhyOAzsXfzmXZwSttKDqIxj09v5299vWvdrdOAbwgmh3xmE1J35D4oK
HpfLp7sSebQIpkgY+TXxyaGFEiIxzHNDPnfQg2zT3MWbiDfM32aX8LvHaQmH1dwfhkmYFZvQzSQb
vBvNzszsV/k138Gsn3JVPPODbnUbZVXthtUkeAYGe0MmkCPGFGkIMYM40kDlsB88WuL1gZ2l8Gwh
Y2XXkM7i9CX2xtMiOVAdgoMHQT67QGwV8XbzgAGKa+L/xdTsHlZPBHsMD3ClslNv2WA8EYvR0y3b
EBeiWifhAhtvxkfiuYn5+Ro5p8zp1tm+YP+0xIxEM1S1tffHCaDy9fa3h0JMt3IR4aI4A7Nl7D4C
bTWeh0V4ea6zAPayrUgKX+t2W24LWtk+V0mEwS2BXEvdEJMkIoZTAD+AKzamiPUYZuJ7wX5/Uekc
4gQT74wxobTJwcW2/4UWjuRPFmJZhBPktzxhCcgLsN5iP8IK/dfZwAaL04E8FC/mpBPnEA0el2ui
TDwlfQDe9xhsjsSWZIe/tDd/fTYOUaHYnI2FCobYHpvj75kfOKuds8L2iQRX2Cnh9soF5NEiyl3O
3osgpS0w28wOjezGkgm3EpxJ8910B+HMfGLCbDzlL7vJovCQcfPjLRfuiz8PT/R36GdO7NjtfRQ5
/9EV+C+xirqYGvxPoD0YUHSd6TwmtuWZYLz/j6A9OU0RpWXo1G0tAdCb8O9kFZ9v6w5vL6CUoj2P
QKEtBVBWrGqnAWDTUGx6ueGm/pW/qKi7gydfU+TbroYD1i//rX+lwVS/ynPD3MedRsWX4dBUXtTv
ySn6maFYf4jWVI0vPSVnCvL0VvnHFmg+eB/5qrtAnGiqRqCNVIB8H+6ajsN8K+AVdIG90ae6N6eh
xjW6D7Cx0e6T6quI1UTDQRSNR1u0i1PgBCENOTpRh8MWnCAlfGoL+OQz9lI0MSjjHT4/AfIeDu7W
5R3p1gqsK9Cfs2hHL7/3S/rmombfW4h2W+jPgjMiL6NQTDsED96SZyR0QQQGsaLb8oejpRHf0uug
9CsqhD8i7e3MuZNN9xOLzjAVaqC5tHkF7ILSI8iAqQV5H5UbjeKPHKCZQp8VxQ5XAJsEemWkxwo1
GmlBQR7aBBV5CAUkr1mGQbwnDKL0CBfT7rmAonBhBMAVl6lPcxRUVbZLgBF+z+7VR/gR/kTbF1Jr
ptAPv9Sb4fx8E/is0Be11dRPgS9K4HFeAI+WPYiVF/DH51u+Kd6k3/QeHgSmUfR4DG+2F22QdDPS
rOnsEVihgEhNtvm9vKss7wYIJPGaaK9PnJmdWp0VL1ogxUEXtC7pkWvYXIyMWotl9NbQOcq18Efy
VImVmAYzYEyi9oXdfJ7jt9tx/oG24EpbxKd0Pb9ZxQgUWV+/AnmfnWNwlWtkRFyZAOqxqSlzPc/t
ZfSYfLDKk7ycO5AxOH/pd3CjNZ1tBbQl2+brm/vFxLYTuzDBOqr3cLTF9NDyICBy2Ojn4lDR0J7a
M9kuGVWgT4AZ/S1XOdFtTPAlQtnO75YQHnTvX5TDhLdXbPISrF+xb9bdATZUax5MxNvzsxu29+U8
NjHFLwC7u+6cksEMfLszGXsPVbO6yozx/PTU9d5l4Eyhpd9DLPNvvuip374o+kTmPQribXHSDkyC
VZ8QG7+T4kRBu5y/5e8VpiaxngaSy1b0kZ2qd2Vqhg0zsWb/ziwQ3w6Pkmzl4JSpCFGKwDSDDsb+
C58eYhqVPzdB6OUlgajpQdrwf0FLy8pUTP/+g39ffP/bv+jg6ee6JEHeqaC+oUoa6P3/aIKeKrqE
4TRNXHW7/hRoPA7f7zCY8aZ2KFyCh76IDQ2FEVDJP5hcuOy2zRtQQo4rQjC47tDJZgv0v80JnDMT
+Veu7MeXEFjMrKY368aEQzuCJ2PC3AlgkewyPU7AQ7zcyS2Allalu8nMLHIQi2cuwLwbY5+sOqwJ
3dNwOWUHx4g2kZPiJUmhAylQPHXHqhtrhaOQg4LiQjbZjuo/C8mxz7Ev9OjocWIYIppL+eYJaJNj
QkuT/qY3gverwDLTNoTgHUZhSk5X3Z7RVVYBC8Lqz+ntVtNLMfMlK1t09mPRng340Tisz0Xx1p4R
YVJm1mM1fiVcqltRNLow2WXRPcMOvaFmdISrPolXtfQWIr3zpW87Iryz9nS7S0bvYjA72axDyCCt
7kvT3Nn6ebk9GDfDKtOc/mTh1B2MnBZ6d8D6bmuNBKf5evIp4EnBptWm7rdriNlozh2Aur7Btq9Y
04t+MYLoGsU2VMgdkdnL/ujvz9GdR7Yc2amYknXRxeKncnqCPTs9NKv51+NmloVTql4CV2q4GYm2
liBAX3iRTXWOD/lBJbxTuSNoJlZ6BxNMAHE2Gx42zGXRMvzrJC+3aSzECJ6MWtHKB8kSOxUsqX70
Nj8KG6VhS2FXdqU14JuPZ21VXiGbyVa7xh4AkdrrP+Cs+n6W3G8+MlyF+qglTKj+NaLHdQPSzbhT
Dso+aIMmMQdvtlbZA3dM4wZxyJpyW+hIYJDBRIPa2M020kHd9gTHlyz0dGz8RpBXA+TEHL01jcP+
GuaX7Jrlqyj2RqQXW7vodvQCfwxbmPz6wlAFzT3Vu21jrPKbkjGA541MprNtJ06+mtwfy3A17in0
sUMiugrAdDyILhlzBwoJVTioJPCaxHmyiWYb+M5JSdNOZ/6jwnYhGNvR1hrxNTWItOZ9fkgDHbhc
X5sJ0SIiM9ggZuzwYrHzCUAeu+6UXsdVNYFypJ3i/oxm7tzOwlNlOOoMRP1rNXcB9gEOqAB84m3v
eGbz5WMopwn+bQL+jV/7rEyE6vCL80cQAePJAEwxH95M7AKFJubNeOlo1hYSOYX7Qh7YjD7nd3Wv
qdbq561WXfeDSf4eL1wHNV1BqHtp9dIHZj/Q8WXS2xNCHwc+fKEvSw25HUfbwWC5jp+LFbiiT5Wm
q3xjNNgEZM39+TP6Hrj1NwPWFZMN0OlQty/jdAHOFZBrfYfa9Da1deOAXGcGfP0B06YDkHu+bEPr
c+oKuKnstwC10p8UPI8r9Ytwb1yN786MIhdq8RvPHo4DS92MHnXCL0rMNoRmEvSSprQobk7am8pW
2dZXBTkQB7JNNo5VgefXvSjd8mQ7sgJ0kgGMocBRcBrLB5tb9fXU+lQMQqUtawljKoBa4z5/xz4W
ChxmJi3PB5RFEK5pJlRjHeRQOIOpNft5blsKyLo1B3n14Jlq/Xt1qdk1uQkxEs1LUYgXSSB1XV/z
SYlVgmGFxCg5kJ4RHDM1T6Qu/MdGcSEc2ckUfQty0MFslxkoPF66GRTmsy0aTp0pRok6eGbsl1Uq
WFhah6EDKSRl0IYpT/MnXT/9B1R1zm2L1M+3Ymfp4voe0tBz9Mq07G9a+NW2Zoi0WCIpY7cjOebz
h3VdzMFv5Nv4i2SS1A+FpB5iHKDrGv2N4S1t9qWd2xr9qa38o6JQ27unnLn7hsLqrDP7xUnClO9e
5+x1mkqLaeFpk6CR/PC7XDyitfJaDpkrUybrTqFy1mHSk8CbNcv51PRonOY7yvdfxkKLlzfDUXYK
RRcNpCrjxMt0PwWsElrpB1OPxGHtul0fvmo7XcSMZWHzCI9q97WXvfkp1GxtN3FoQu9l0auerXoq
y+ipnElcf4fWyjIkj8zs3A3mbRsq2FeT5dH3dIhFmKUctb/I652E+uUMl9m2OBPPpKDeDDP/zncK
q2D4ouqSbbo7kj/IFsB6IbUWQ/uN6ANzIz1ARDhRcxGj2sj+gO+Lf4DWm0jJiXAmc1BX1k8z15B3
7W3RHBJ/yo5+K6ZLHjXUs7RkV0njQnAVIleAQTtHpTcH1ullsfW8F5sG0CIIhLu0MhoaEDqlstEq
V9yVMyYLPWgOD+D9D5MJcHCvpHA+6ajXbMYMZME6OUx5qCTbK5T9yPUKa7YJt8kerj4v89O5T02Z
OsPMIpUVBQ+xfamR02TmBlYavRfNhdrsKFH2bUFxDX7uwj30AKwcIpMJIZ2rrZr1xE47CiZV7SkI
taSWEa1uy65BmMfR76+5Ba/oo/QetDcim5WsF/1iPBVA1IP0q1ftEvwXCDXQhecephJYdz+mH4/f
dNHaiD15EzDZL/MZ0GV16XqW9olSKDYSTCJx5nfmS2/DMXtAo2rK6yfFjsmeWFOtKOaIdH6wI19x
20Wx4YjRjxYlD/r4IIVFWUSUJfrV405pAZ5rv3RFUikggZSERdEAFTKK0pD85ASH7wrMcOCWyuDF
108F0+q/4Abvzem1OMHTbA4P24DpZEoXCJ4mh6vSWDI5pYhYOeWE2XGqX/piqpn6zwip0KUElAWU
o3HVma2JB0Wk7kXvAloi2iSizqJRCKC8H4jKQe5Kfkz5YU+5y+cBSDYxw4o7f236Be11Ozn80yXv
KQ1RnaHAbJhfL+L/5Eyw3ZC0A+ohHQH/Q1V3pHhRUFgRNYBbaNYST9RMj9FHfGxY/M/8WOy1Tz6Q
9mgUPNcYWJos63Kbsy0oo1IN0N7po76LzQMa8EhkZb48OLSWnccWcygBHKm3Uni2oOm2fNHxuwcU
JZdiyPHBnJ/3fs/ZOyH5buUs9wn/QOIBAjraRx/RqV4m4K8zL1u3DYXY1poca0f9VsiXN9Jywu8p
h/E7xTEx4fIebtWrHpnFZdypi79hvv/2v9UF6j9S06/yMUD5FjX/6T//+/8/BEwaCcl/Peh8bL+e
P/8n/ZL4pZ973fzbv0ym2r/qqiojEDzXDTiVDAYf/ycBrf6viAbKU6YidbiSpzI/KsqnkA+WpX+V
Nbj3EBZWJIYpJcZI/31oefavCFvCSwutrQLnxVT5fxpaZtT5PyVYfDIfjRriVJkbU0P5TwkW4/J1
PTW6uZ33pDToi+SQwr8YaYjhphjhVLTy/FG6odFBRPGcDlYtkwFE8xBgltJvi1GdL2qDnpuuUhka
pj4yQWRYLfN8KgbrxqAyCrWUfJjhR9A3gngvNyD6QbbMSebzdCE1z9ni1pcY0ibMjsUrR1EG4nWr
nXcvs3vAmKpnGrHCY9X0Fwl6Brd+Ac/60xKMvlXQX0MXWVki7aCmtQoI0QVpAJrbcGJCWeYofXmu
0pwuiyHHLuohJWSkoKZ02c4IBafNft5pld9qzfllEAYkiJb646MO6TV0kxaSwflHDSOFNr8MmYyo
ULjquoEp2eRH6jXAgV3k9RkTQEnlRj3McOV+lKxiJgeTFpnvKPrUEoQengbAtlKfj5aR5UGsb24v
ADvSRcunoMDn42xZT2UZnqWnmT9jAunnBlE2TDN0ugTtSM7PHs0UIr8UeYOZo9UN/qrhFsp4EfUd
xEfI5TrNNFmrk8dSrZgorBIp8qsG8ru0J7yD7jNyq7K7hE3dL7Ro+pbBQe50eYtU8WzOFwX2XKMe
Q7PVPOaUkSenQlBMh33fsTlCff7+LHqhxEN/+RUhhaaXawQ27pBLxlYLZcPswZeWWnZak2E1DUwy
Kdpk77cU0qAJar5jY6QLNBGYOU3aiY1MArK93RxW+GlbwL2lzfwwJdfOawxau23LlUHVos4AATZh
/ftQPufzF/QWoZ11TwN6zjb67YoG4HlUUZy4NSDRclmH1AoO9vI4ZiPVtAqgeQ8wDZ6eWN/JTWrD
uUsJrucRR/Ps8aORjc2hUDFrPfLLqCW7S7WFEc1+01IGBj3lhZOy7vxJF0FUVqqDPe2zQ1RVp2m6
VhM/HCFESooLNI9UAyYwH+7ms9gKIUBf9ikIOYXz8kiBJM4U7VjqlIFld1rHtG9n842i9ZteuR2k
ZsLATA5WxHgNAZyAhjUdDzpKfLNJ5OgP6ZLnwCTnaBEgmNnkzixtDhRVFk+9D+peec+kkuwjTqa2
PMQf8uT2iZCRNeuFyEmTzSCGBR+GyuFIMFYyR9wpJem99CCtDnd68qLiXQ8nXb4t5uqw0LJnL7ja
vyGpReAt+dJi9QvxuszR9Yx6pcwW0+S058y13mOcndDkJEOtefzZbZhYehdSukR+1UmVDixgpNEQ
kogTbmPPkOdUG/1ZMyvsPIwhjO0jwpQqPsPbFe0REduqCenLvOmZAEDcyOyTqWSOuoNcSYg2QaDO
w/c2fMDGPk7W4wSu0UfPepalhJ5SYzxWXSgiTa0oPFbPqqOHNVbs9nZXytliMmSoi1Edal5pML6Y
MZIn/lD0L8cYRxHYkU1ORSKmtbs4luauXIeQLCahB5vzZ6hT21RiPxtRtBin21rpV9D7okryIAQt
yLxiuDyhYApJ06ZTZzDUweQTCE9vN6CBjZIs6ifFQx0apTrfpEV4fs4iZIWrKqhvWmyVTb2PuoTx
y0hK7RsC5CY0X4Dhu2xlxNm9jyE0miojPTC9WxjUHHgmbKmu2ECN6ijT5+7Zq5jM+Rgg5IAg9+3Z
WjH0wpZK/es1NEulZY50eDLNnqLhgKQX8WqWk85L5XeXQSwzbaq5je7yHWveWpU6QcS6y3aopkKs
CfW2NKecDYWlUcfX6jHp3JnekETMq4/HRBnsGOFVpEZERbGJHm4WtrDTTo3PpGqFfEIpm1AaDd5L
jt4U6MhfsycFyTZZqEpa+ekrPTZ9HXQQMLVZc5kjrP7UlakNddg5Q8YnnMSZBSPbPrk9lkXVoRgR
lSiAaydItm6wQo2FB9Vf6yiTLMjq6fKVsfMiNf5oSxXZN+QLG12n2qV9xTfjrUvwM4ksH1H5PCcV
emh6BKi5rJBzuSWLdJT2XZxgMNOPTiZ2rRoIvIyJ3EJdjYyQUd5cCLbpMUw6H4oZiIDicp+PTzvN
qT0kBOpoMfaq4b1CEOvI5NW1fLNVCKHYMSDZJ0xKQASs6xT8SR3HKbPVmvQOf9jnNG4AhCnxeVIW
nflAoc2S8+xTkWo/Qy1jLFk8OG6h8OioEKJLDt2hdsr01K0jDRBlkfnVhBFIYwr3K6lx4Tc3eZ+8
NP0OMRtEby/tJJXxdY5BmZc88ln2qakv38ggDpBSA+V3oMpdThcORVtBD+o+DBhun9JgPQTp1bMr
XSUFMjKLqa3MUgstGrdLP249uWnJjKsyFaxVA9AheTjFgzxxpXzemUY6JDisFAg03mJAu9yNYklH
xrdFs0i14BaeUXqWC3eePmE5k18UxiKV1seskRcPbmKUlADGdVzNq9LSTaEoUuyqdVl4Sj7ZzSbP
GFWzVno5r7HkW83NTrPbWxVFGNfmR3o9XmY2wG3b5ulRk8vbAlrHh19oQ7mIGu3lKzNd9mZFeiOz
7CuvlLkjLq49P7oQPrUelXTNSC69SmF4QrV1gALaC3PceFdiWrN2mNmI87Wm/EBQjnOyR2OXItoc
8HUuMtKi7vaD3iDI2TfWcwZ9UhM/koPUNoK1qIYsY6rfb7mMQZdm+/410lNF0w1CJPoMaZV8z4wn
bf9bG2LYHv2yLtPU7uaRsX7qFEIj6RaZVZSMy+lEn++Sfiz812NU2U7jnIp1PUDRH8GYPMCfnRtl
fIg1NcrobYduXe7jSNnUL6ZuB3X+iR6pe8uaNQSS6oj0TEYNFdWinlJtBeW4rmy0EUtcj+rTlQck
4uXZY1131ECj/rFLoYSzmhxbmI5K5Gld90JNqbanXd4toJb+TJ4TzjUIeHVVYzKUrttXxgx4dZws
HzLhCiK+VoH8qgH1kIOoFsS3Ye0Z/YfeZZBTsyaIEuXT5CeTkrvWDTsYH2meDnRZcbnPSkHAMCus
ed999EWeWnVVBOMw0sUYaG+MKX2yV9N6Tfx0J3H8DYARS2b3BtHQNIW+Y9JBu2u0W3mee0Vy2ykG
Ejvwmo6LCMWPJ9rFZZ7WEGo1dCee8uaWEoLMk8GD7MfwbnXi1v0kX6vVxJFmt89bAiw7nRlbXCDR
zrNgukMPHa2TdlFHxiwhBWnCP3+4Kf2XUT+us5AKvvHcl49+MUECxuvLmRNK4/qmPlRXpXLeJ+1V
fVQHxGOQA0thWKQyM33IW0i6ZjbiXADMDb5Is2Hb5uADhmQF++tZ6WNPLwq7S9U1rHOoxoz7Z61d
Ku0GOD2vV1pdz2x0i9ZTmMpMNppTj8+t/ny5spLuYHzL3LzudkMYgw/oqzXChZozK2+7Kg5PLWyt
9jTGdM07Jv6zRxJew1JRV6p0Wz0kdVENt+UzJpBOp1Sr0zr1KlWhC1Y8PjpjcF5JlTlZD6M3Ufu2
yasjUho/t3G8zsNOdeZVL1mSMXlZyVwFNzepGVBVdbgMu61xAynIMg6PwaC5FZ0RevTD55DarzlD
t6gn27fZRu5qT2QNdjvQNUGfBy7lNHZRE+BBlgMlS7l7bRQFEdobBHNFXL5rRl/ZJezLZqvemJSe
KCTqNyLFR0H4e1NsuaIwOW2XEFlOd2Va/2oNKUVPGNI9ya1e8Bi29cRtnsP7WLH9ZvDOLbKy8sO2
IHBAAs7s5r2bydDk9LQaS4arJ+1Ke0qw9OSVYfNhU1+ZK1AUPM7/g7lrW24TCaK/4tp3qWCAAR42
VbESWfFVdhynsi8qIhEuGkDchf4mH5CHrXyCfmzPALKMjLVOUFU0jxZuZpqenp6ennOWCyQVndDF
1Ut9bgAfDoRpwXVOJ+NlgRvICkOQ8k+CWH1iyadiLwJihE0jOM3gM0De7ub+De0lgwLY3HGM6AlB
AELFpT/O6RJcXR8FnQwxob5FIQpOkyuNhCgsTVHoh5Sj+3mefdaJBdi6xL4El+WFspC+qD72YDbs
VV8AGnp1A5jMQTZPPtlOhMtAAPZ+5yuA7NET92s8n3ySROF2TpEPlHF2OY9Q4QkgwsUqi4YTjEkU
4N2wNbLOwPU9BRQ+KFbBjOJnjom1IRhQXz+fB/hY1pzhGIVZ4D5n4dhauTfpEtn40IOWWADYfEvX
k1OCgGAIxqr5YCGhlMDCaQlQqmPANSpDLJ5nkzBURsUyii8KVx3mHpvR8DzrAVadEelCm+DwkaUu
Ko8YwR1pkj8wjaVXIZHPJDF3BrorXbsJtq8ikUa9BXKagYvNcJhb8MQSePdS3Gun+aUEQx1oNCtG
aepIZ2oItAx74tpAJSTXc0qQ9bFWl1qCMi62WrD3lg5wUkthI7Ja3AJs/VIFW5ar+0BhUJHZw6VE
WR+zSEXunNg3k1gWhstJFn9JEWSdUmmJlU5n3lDLM/euEL07ml5LYBwABuo9qElOQZkC9PdFYY+o
EvrflpQBHjLI8xwHbBEyToWjpqgrDzIZO6ECmV8wQ+FaByLL8ygFRWjuYT2XRVPMdFwBzlTAydvW
5OMCLLGYyVQZAWP/ikjqBzcZDwa5g/nnA18wjCfn+lK7sVY59kcTnDnKS+QKAs8CEgq5LnordwzK
WG8QAckws2bcF0gOtjNOhrJPILeCGgeQ5sT+IDD63k81ETijes4BRbHkoK7K6p0HYvGBhl9obl+S
SL1guo2zkWgxDCjuhBFcJ4snKRB2VuOeJ46xZ0FBjgrMSkftkdNYRm7alb1Pqow8w68n0o6FcLTO
/r0DDN97P3GS4jY1o+LOBMt8nfyzzID/WiLS3QOG8Xce2jAltQs6MUuh98XC/PsvY+Y5gPWIk8iZ
Jk8zbDp4wWQR2HuNrFzZrbLP+6QwA71OZxCPBBswzDWQgyIfxgLfqv/O83UC1YAkCILSsiHzhjc9
0c9LGtg/uEqV+5/Z1/VKN7wmQhREAVDuXTWg9EVAFAIVvh6ngJzlriKQfkQAgywkb0gM/hFFTIPU
xzp4Z1pO4D+1BGU3NfuCEewI2BoBPjXGJVI+tMbQSR8IdZooAR2ybEBy/CNDf3ESKIra/fsLlGoc
EHNn8EpfwS8UCP/V4KsXHdEE0GWC5Hj1TapDi0d/8gseQO9LFHl0VQNUZ9me2z+wQSXk7MFHzFtl
bUekh8oRSNW8/H1FgOqBNw3+sGq7s4EbBBrOBko/wKFIj2s2wCAI6WwQWBKoqkoy4ac3DXcAOkAV
RNRg+3tU0LEpQKCK0NUQtL4siyo2xbXD59ilDT1IfUHGz1BSZQgoBz4uPRAA8FbW+fvTQe5rIqU4
WAOCaWP0/LROkARdLWcDyAqObfS1P+jqGP/XH0h9wlVwvP5AwsfragZSHwjwOJglSJ1XbcccaF9R
BCKIMrCZeatm36uWh1c8VB24I+Ye2A6bldG2Y8ZtQflLD2xCzee/12FmWV8rPiJel8/x2Lt69TYW
f9OIQspI+MmPm8j46b/X43v+5tY+bf44ArSIEU1tsM7zvUXdy2vDQ7g+MNjMiBvBXxkBbTvybMcA
z1Q5gX1y75zYiLjsp6JrL9JV9n3AHK8hWJIUDV6lq+AHgzETqOoMqOnptPmGyvK7vuEaVQj8DRU4
uz8zo02vudFgB1atNp1fY0TO+t9gV7bK76F0lX1lWDODmU1E+ce9Y1fpg/XPaBZ8begeXJka9mXd
u/7sq0IyfBHi8K7dPg3Y+kdm7HzNOpruKvxtwtbfMXWnOx+0js06i/eMVeA3nUC14vFkQFfpYxyo
eEbR6HotHetpV+kPRroA9cFG0HYXLwK2v6vwAY5fzaSNBU5EgNZV+llqZI7RVuTEy5W6Sh+lOKre
iNmqhRzAAaDjjr/+0SZd3LyxNdX0qoXjNnX82fpHi72Qg3iAhQM+jJO2/FdllbxMq6vy95Cnv5yI
e5V2Bqk/A5mHh+W8Tf8HmK8PztQ2mst2rZiDzKjY8FttnhxgRr2NdlftuucHmE/7CSG7flU7mK5/
buxuO1ulA1j8W/QtCFOnxVx4gqOrqZckM7txTKV26QD+fV8ZaFelm4hQNwrY6lw+gJlfGidwkq4T
tSid51YPoPQN6c+J4c+e8v5shG8HVNL87NVV267iMTH/fK+xSbi3/VtzH8WfmDLTiN78BwAA//8=
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>
            <a:solidFill>
              <a:schemeClr val="bg1"/>
            </a:solidFill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11430</xdr:rowOff>
    </xdr:from>
    <xdr:to>
      <xdr:col>8</xdr:col>
      <xdr:colOff>419100</xdr:colOff>
      <xdr:row>17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ADB82C-FFF7-E85D-C754-045ABC32A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20</xdr:row>
      <xdr:rowOff>95250</xdr:rowOff>
    </xdr:from>
    <xdr:to>
      <xdr:col>8</xdr:col>
      <xdr:colOff>457200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B8416A-0A3E-EBFB-95C7-97AA4301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533400</xdr:colOff>
      <xdr:row>0</xdr:row>
      <xdr:rowOff>95250</xdr:rowOff>
    </xdr:from>
    <xdr:to>
      <xdr:col>18</xdr:col>
      <xdr:colOff>350520</xdr:colOff>
      <xdr:row>15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12BA9E-5567-252D-2A5B-081F71722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228600</xdr:colOff>
      <xdr:row>18</xdr:row>
      <xdr:rowOff>106680</xdr:rowOff>
    </xdr:from>
    <xdr:to>
      <xdr:col>19</xdr:col>
      <xdr:colOff>388620</xdr:colOff>
      <xdr:row>30</xdr:row>
      <xdr:rowOff>121920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2463971-06CF-BA07-506F-9548C6CCBF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94180" y="3398520"/>
              <a:ext cx="3329940" cy="220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251460</xdr:colOff>
      <xdr:row>32</xdr:row>
      <xdr:rowOff>171450</xdr:rowOff>
    </xdr:from>
    <xdr:to>
      <xdr:col>18</xdr:col>
      <xdr:colOff>426720</xdr:colOff>
      <xdr:row>47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CBAF8A-A573-268B-27FF-A712B2F1A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175260</xdr:rowOff>
    </xdr:from>
    <xdr:to>
      <xdr:col>8</xdr:col>
      <xdr:colOff>68580</xdr:colOff>
      <xdr:row>3</xdr:row>
      <xdr:rowOff>15240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E719CF8-B504-AB59-B4F7-01CADF21E6B3}"/>
            </a:ext>
          </a:extLst>
        </xdr:cNvPr>
        <xdr:cNvSpPr txBox="1"/>
      </xdr:nvSpPr>
      <xdr:spPr>
        <a:xfrm>
          <a:off x="3550920" y="175260"/>
          <a:ext cx="285750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solidFill>
                <a:schemeClr val="bg1"/>
              </a:solidFill>
            </a:rPr>
            <a:t>Datos de ordenes de compra</a:t>
          </a:r>
        </a:p>
      </xdr:txBody>
    </xdr:sp>
    <xdr:clientData/>
  </xdr:twoCellAnchor>
  <xdr:twoCellAnchor>
    <xdr:from>
      <xdr:col>3</xdr:col>
      <xdr:colOff>640080</xdr:colOff>
      <xdr:row>3</xdr:row>
      <xdr:rowOff>60960</xdr:rowOff>
    </xdr:from>
    <xdr:to>
      <xdr:col>8</xdr:col>
      <xdr:colOff>601980</xdr:colOff>
      <xdr:row>3</xdr:row>
      <xdr:rowOff>60960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F3E809F7-DC6E-805E-3B29-082AEABCAC4C}"/>
            </a:ext>
          </a:extLst>
        </xdr:cNvPr>
        <xdr:cNvCxnSpPr/>
      </xdr:nvCxnSpPr>
      <xdr:spPr>
        <a:xfrm>
          <a:off x="3017520" y="609600"/>
          <a:ext cx="3924300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</xdr:row>
      <xdr:rowOff>53340</xdr:rowOff>
    </xdr:from>
    <xdr:to>
      <xdr:col>8</xdr:col>
      <xdr:colOff>320040</xdr:colOff>
      <xdr:row>5</xdr:row>
      <xdr:rowOff>76200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67C86AB9-057D-42EC-A442-1BBACF67D0DA}"/>
            </a:ext>
          </a:extLst>
        </xdr:cNvPr>
        <xdr:cNvSpPr txBox="1"/>
      </xdr:nvSpPr>
      <xdr:spPr>
        <a:xfrm>
          <a:off x="3322320" y="601980"/>
          <a:ext cx="333756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chemeClr val="bg1"/>
              </a:solidFill>
            </a:rPr>
            <a:t>Universidad</a:t>
          </a:r>
          <a:r>
            <a:rPr lang="en-US" sz="1100" baseline="0">
              <a:solidFill>
                <a:schemeClr val="bg1"/>
              </a:solidFill>
            </a:rPr>
            <a:t> Industrial de </a:t>
          </a:r>
          <a:r>
            <a:rPr lang="en-US" sz="1200" baseline="0">
              <a:solidFill>
                <a:schemeClr val="bg1"/>
              </a:solidFill>
            </a:rPr>
            <a:t>Santander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320040</xdr:colOff>
      <xdr:row>7</xdr:row>
      <xdr:rowOff>91440</xdr:rowOff>
    </xdr:from>
    <xdr:to>
      <xdr:col>12</xdr:col>
      <xdr:colOff>510540</xdr:colOff>
      <xdr:row>18</xdr:row>
      <xdr:rowOff>22860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B532608-1629-4B96-AA5A-156C2A701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289560</xdr:colOff>
      <xdr:row>20</xdr:row>
      <xdr:rowOff>22860</xdr:rowOff>
    </xdr:from>
    <xdr:to>
      <xdr:col>5</xdr:col>
      <xdr:colOff>571500</xdr:colOff>
      <xdr:row>36</xdr:row>
      <xdr:rowOff>175260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8DCC143-4D18-4C3F-82F7-08A0F81F7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320040</xdr:colOff>
      <xdr:row>37</xdr:row>
      <xdr:rowOff>137160</xdr:rowOff>
    </xdr:from>
    <xdr:to>
      <xdr:col>5</xdr:col>
      <xdr:colOff>670560</xdr:colOff>
      <xdr:row>53</xdr:row>
      <xdr:rowOff>99060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F20135C-125F-47B2-B5F3-837E74A39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85613</xdr:colOff>
      <xdr:row>32</xdr:row>
      <xdr:rowOff>93906</xdr:rowOff>
    </xdr:from>
    <xdr:to>
      <xdr:col>13</xdr:col>
      <xdr:colOff>352312</xdr:colOff>
      <xdr:row>52</xdr:row>
      <xdr:rowOff>29136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A55B681E-AE25-4460-A28A-56E8F16974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0493" y="5946066"/>
              <a:ext cx="5814059" cy="3592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7</xdr:col>
      <xdr:colOff>579120</xdr:colOff>
      <xdr:row>18</xdr:row>
      <xdr:rowOff>53340</xdr:rowOff>
    </xdr:from>
    <xdr:to>
      <xdr:col>12</xdr:col>
      <xdr:colOff>175260</xdr:colOff>
      <xdr:row>32</xdr:row>
      <xdr:rowOff>68580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0BCF09C-2297-4F6F-9932-583F20DE2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620805</xdr:colOff>
      <xdr:row>4</xdr:row>
      <xdr:rowOff>30032</xdr:rowOff>
    </xdr:from>
    <xdr:to>
      <xdr:col>16</xdr:col>
      <xdr:colOff>13894</xdr:colOff>
      <xdr:row>11</xdr:row>
      <xdr:rowOff>146573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8" name="Fecha de Orden">
              <a:extLst>
                <a:ext uri="{FF2B5EF4-FFF2-40B4-BE49-F238E27FC236}">
                  <a16:creationId xmlns:a16="http://schemas.microsoft.com/office/drawing/2014/main" id="{62AFEDE7-EF03-385B-9843-5B860B2D4A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de Ord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8640" y="747208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545502</xdr:colOff>
      <xdr:row>26</xdr:row>
      <xdr:rowOff>56029</xdr:rowOff>
    </xdr:from>
    <xdr:to>
      <xdr:col>16</xdr:col>
      <xdr:colOff>7620</xdr:colOff>
      <xdr:row>40</xdr:row>
      <xdr:rowOff>12886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Nombre de Cliente">
              <a:extLst>
                <a:ext uri="{FF2B5EF4-FFF2-40B4-BE49-F238E27FC236}">
                  <a16:creationId xmlns:a16="http://schemas.microsoft.com/office/drawing/2014/main" id="{B79EDA6A-71AA-22FA-E0AF-44E3EEDE56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1126" y="471767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550432</xdr:colOff>
      <xdr:row>40</xdr:row>
      <xdr:rowOff>60960</xdr:rowOff>
    </xdr:from>
    <xdr:to>
      <xdr:col>16</xdr:col>
      <xdr:colOff>12550</xdr:colOff>
      <xdr:row>54</xdr:row>
      <xdr:rowOff>17818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Región">
              <a:extLst>
                <a:ext uri="{FF2B5EF4-FFF2-40B4-BE49-F238E27FC236}">
                  <a16:creationId xmlns:a16="http://schemas.microsoft.com/office/drawing/2014/main" id="{CA3B6531-1C14-2395-646F-FACCEF5E9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6056" y="723272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546398</xdr:colOff>
      <xdr:row>12</xdr:row>
      <xdr:rowOff>56926</xdr:rowOff>
    </xdr:from>
    <xdr:to>
      <xdr:col>16</xdr:col>
      <xdr:colOff>8516</xdr:colOff>
      <xdr:row>26</xdr:row>
      <xdr:rowOff>13783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Categoría">
              <a:extLst>
                <a:ext uri="{FF2B5EF4-FFF2-40B4-BE49-F238E27FC236}">
                  <a16:creationId xmlns:a16="http://schemas.microsoft.com/office/drawing/2014/main" id="{C86FEFF8-10EF-BA44-1835-BF76D8A07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2022" y="220845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bey cely" refreshedDate="46264.781272800923" createdVersion="8" refreshedVersion="8" minRefreshableVersion="3" recordCount="200" xr:uid="{4E75AEA4-1064-4ABC-8186-43E7FEFA6278}">
  <cacheSource type="worksheet">
    <worksheetSource name="DatosVentas"/>
  </cacheSource>
  <cacheFields count="17">
    <cacheField name="Folio" numFmtId="0">
      <sharedItems/>
    </cacheField>
    <cacheField name="Fecha de Orden" numFmtId="164">
      <sharedItems containsSemiMixedTypes="0" containsNonDate="0" containsDate="1" containsString="0" minDate="2022-01-02T00:00:00" maxDate="2025-12-12T00:00:00" count="191">
        <d v="2023-10-19T00:00:00"/>
        <d v="2024-11-01T00:00:00"/>
        <d v="2023-09-18T00:00:00"/>
        <d v="2024-10-20T00:00:00"/>
        <d v="2023-06-02T00:00:00"/>
        <d v="2024-07-21T00:00:00"/>
        <d v="2022-03-08T00:00:00"/>
        <d v="2023-03-07T00:00:00"/>
        <d v="2024-03-12T00:00:00"/>
        <d v="2022-12-05T00:00:00"/>
        <d v="2025-05-15T00:00:00"/>
        <d v="2024-03-27T00:00:00"/>
        <d v="2022-08-09T00:00:00"/>
        <d v="2025-09-17T00:00:00"/>
        <d v="2024-04-23T00:00:00"/>
        <d v="2023-06-22T00:00:00"/>
        <d v="2025-10-26T00:00:00"/>
        <d v="2023-05-24T00:00:00"/>
        <d v="2022-08-08T00:00:00"/>
        <d v="2022-01-27T00:00:00"/>
        <d v="2024-02-16T00:00:00"/>
        <d v="2025-08-04T00:00:00"/>
        <d v="2024-10-26T00:00:00"/>
        <d v="2023-03-18T00:00:00"/>
        <d v="2024-01-04T00:00:00"/>
        <d v="2023-02-06T00:00:00"/>
        <d v="2022-07-11T00:00:00"/>
        <d v="2022-12-16T00:00:00"/>
        <d v="2025-07-25T00:00:00"/>
        <d v="2022-08-03T00:00:00"/>
        <d v="2023-05-02T00:00:00"/>
        <d v="2025-01-19T00:00:00"/>
        <d v="2022-11-13T00:00:00"/>
        <d v="2022-09-12T00:00:00"/>
        <d v="2025-06-20T00:00:00"/>
        <d v="2023-05-17T00:00:00"/>
        <d v="2024-12-22T00:00:00"/>
        <d v="2023-11-12T00:00:00"/>
        <d v="2022-12-24T00:00:00"/>
        <d v="2022-09-21T00:00:00"/>
        <d v="2024-02-19T00:00:00"/>
        <d v="2025-03-01T00:00:00"/>
        <d v="2022-05-26T00:00:00"/>
        <d v="2025-06-07T00:00:00"/>
        <d v="2024-02-15T00:00:00"/>
        <d v="2023-11-28T00:00:00"/>
        <d v="2023-10-27T00:00:00"/>
        <d v="2023-02-09T00:00:00"/>
        <d v="2025-05-05T00:00:00"/>
        <d v="2022-09-07T00:00:00"/>
        <d v="2025-04-19T00:00:00"/>
        <d v="2025-06-27T00:00:00"/>
        <d v="2022-03-18T00:00:00"/>
        <d v="2025-06-10T00:00:00"/>
        <d v="2025-09-23T00:00:00"/>
        <d v="2023-02-23T00:00:00"/>
        <d v="2025-07-15T00:00:00"/>
        <d v="2022-02-24T00:00:00"/>
        <d v="2024-02-21T00:00:00"/>
        <d v="2022-05-08T00:00:00"/>
        <d v="2025-08-15T00:00:00"/>
        <d v="2023-06-16T00:00:00"/>
        <d v="2024-11-07T00:00:00"/>
        <d v="2023-01-10T00:00:00"/>
        <d v="2024-12-08T00:00:00"/>
        <d v="2022-08-25T00:00:00"/>
        <d v="2023-02-13T00:00:00"/>
        <d v="2024-10-27T00:00:00"/>
        <d v="2025-09-06T00:00:00"/>
        <d v="2024-11-05T00:00:00"/>
        <d v="2023-08-14T00:00:00"/>
        <d v="2025-08-03T00:00:00"/>
        <d v="2024-02-28T00:00:00"/>
        <d v="2025-03-21T00:00:00"/>
        <d v="2023-02-18T00:00:00"/>
        <d v="2023-12-17T00:00:00"/>
        <d v="2022-10-11T00:00:00"/>
        <d v="2025-08-02T00:00:00"/>
        <d v="2022-05-06T00:00:00"/>
        <d v="2023-01-18T00:00:00"/>
        <d v="2022-06-23T00:00:00"/>
        <d v="2023-12-27T00:00:00"/>
        <d v="2022-12-11T00:00:00"/>
        <d v="2024-02-22T00:00:00"/>
        <d v="2022-11-14T00:00:00"/>
        <d v="2025-12-11T00:00:00"/>
        <d v="2024-06-01T00:00:00"/>
        <d v="2024-03-23T00:00:00"/>
        <d v="2024-07-16T00:00:00"/>
        <d v="2023-03-06T00:00:00"/>
        <d v="2024-02-25T00:00:00"/>
        <d v="2025-04-08T00:00:00"/>
        <d v="2024-04-28T00:00:00"/>
        <d v="2023-11-11T00:00:00"/>
        <d v="2022-08-07T00:00:00"/>
        <d v="2023-09-01T00:00:00"/>
        <d v="2022-01-02T00:00:00"/>
        <d v="2024-09-03T00:00:00"/>
        <d v="2024-07-07T00:00:00"/>
        <d v="2023-09-28T00:00:00"/>
        <d v="2022-09-19T00:00:00"/>
        <d v="2023-11-04T00:00:00"/>
        <d v="2025-07-13T00:00:00"/>
        <d v="2024-02-27T00:00:00"/>
        <d v="2023-05-07T00:00:00"/>
        <d v="2025-04-03T00:00:00"/>
        <d v="2025-10-02T00:00:00"/>
        <d v="2024-02-23T00:00:00"/>
        <d v="2023-07-15T00:00:00"/>
        <d v="2023-06-26T00:00:00"/>
        <d v="2024-12-04T00:00:00"/>
        <d v="2025-12-08T00:00:00"/>
        <d v="2022-05-24T00:00:00"/>
        <d v="2025-01-20T00:00:00"/>
        <d v="2023-09-22T00:00:00"/>
        <d v="2023-03-20T00:00:00"/>
        <d v="2025-01-22T00:00:00"/>
        <d v="2025-07-04T00:00:00"/>
        <d v="2023-06-27T00:00:00"/>
        <d v="2025-10-04T00:00:00"/>
        <d v="2022-06-02T00:00:00"/>
        <d v="2025-10-13T00:00:00"/>
        <d v="2024-02-05T00:00:00"/>
        <d v="2022-09-20T00:00:00"/>
        <d v="2023-11-19T00:00:00"/>
        <d v="2024-12-05T00:00:00"/>
        <d v="2024-03-03T00:00:00"/>
        <d v="2024-06-16T00:00:00"/>
        <d v="2024-02-18T00:00:00"/>
        <d v="2023-10-14T00:00:00"/>
        <d v="2022-01-28T00:00:00"/>
        <d v="2023-08-15T00:00:00"/>
        <d v="2022-04-22T00:00:00"/>
        <d v="2025-02-03T00:00:00"/>
        <d v="2022-12-22T00:00:00"/>
        <d v="2023-08-03T00:00:00"/>
        <d v="2024-04-03T00:00:00"/>
        <d v="2024-07-05T00:00:00"/>
        <d v="2022-12-04T00:00:00"/>
        <d v="2025-06-13T00:00:00"/>
        <d v="2025-04-09T00:00:00"/>
        <d v="2025-06-06T00:00:00"/>
        <d v="2025-10-12T00:00:00"/>
        <d v="2022-09-22T00:00:00"/>
        <d v="2022-01-23T00:00:00"/>
        <d v="2022-09-01T00:00:00"/>
        <d v="2022-06-03T00:00:00"/>
        <d v="2023-09-08T00:00:00"/>
        <d v="2024-05-24T00:00:00"/>
        <d v="2022-06-13T00:00:00"/>
        <d v="2024-10-28T00:00:00"/>
        <d v="2024-05-02T00:00:00"/>
        <d v="2024-03-13T00:00:00"/>
        <d v="2024-05-23T00:00:00"/>
        <d v="2023-07-26T00:00:00"/>
        <d v="2023-12-14T00:00:00"/>
        <d v="2023-01-22T00:00:00"/>
        <d v="2024-09-10T00:00:00"/>
        <d v="2023-04-25T00:00:00"/>
        <d v="2023-01-15T00:00:00"/>
        <d v="2025-09-20T00:00:00"/>
        <d v="2024-03-28T00:00:00"/>
        <d v="2023-12-03T00:00:00"/>
        <d v="2023-07-03T00:00:00"/>
        <d v="2024-04-11T00:00:00"/>
        <d v="2023-12-16T00:00:00"/>
        <d v="2023-11-18T00:00:00"/>
        <d v="2022-10-06T00:00:00"/>
        <d v="2023-11-07T00:00:00"/>
        <d v="2022-04-23T00:00:00"/>
        <d v="2023-04-16T00:00:00"/>
        <d v="2023-07-18T00:00:00"/>
        <d v="2023-10-21T00:00:00"/>
        <d v="2024-02-03T00:00:00"/>
        <d v="2025-06-21T00:00:00"/>
        <d v="2025-06-23T00:00:00"/>
        <d v="2024-05-08T00:00:00"/>
        <d v="2024-08-09T00:00:00"/>
        <d v="2022-02-23T00:00:00"/>
        <d v="2022-11-24T00:00:00"/>
        <d v="2023-04-07T00:00:00"/>
        <d v="2024-09-05T00:00:00"/>
        <d v="2025-07-02T00:00:00"/>
        <d v="2025-01-15T00:00:00"/>
        <d v="2024-10-09T00:00:00"/>
        <d v="2023-03-16T00:00:00"/>
        <d v="2023-06-01T00:00:00"/>
        <d v="2024-12-15T00:00:00"/>
        <d v="2024-01-07T00:00:00"/>
        <d v="2024-08-06T00:00:00"/>
        <d v="2023-11-03T00:00:00"/>
      </sharedItems>
      <fieldGroup par="16"/>
    </cacheField>
    <cacheField name="Núm. Cliente" numFmtId="0">
      <sharedItems/>
    </cacheField>
    <cacheField name="Nombre de Cliente" numFmtId="0">
      <sharedItems count="10">
        <s v="Juan Valdez"/>
        <s v="Postobón"/>
        <s v="Sura"/>
        <s v="Arturo Calle"/>
        <s v="Bavaria"/>
        <s v="Alpina"/>
        <s v="Nutresa"/>
        <s v="Colombina"/>
        <s v="Ramo"/>
        <s v="Grupo Éxito"/>
      </sharedItems>
    </cacheField>
    <cacheField name="Ciudad" numFmtId="0">
      <sharedItems/>
    </cacheField>
    <cacheField name="Departamento" numFmtId="0">
      <sharedItems count="10">
        <s v="Risaralda"/>
        <s v="Santander"/>
        <s v="Valle del Cauca"/>
        <s v="Norte de Santander"/>
        <s v="Bolívar"/>
        <s v="Caldas"/>
        <s v="Antioquia"/>
        <s v="Atlántico"/>
        <s v="Cundinamarca"/>
        <s v="Magdalena"/>
      </sharedItems>
    </cacheField>
    <cacheField name="Vendedor" numFmtId="0">
      <sharedItems/>
    </cacheField>
    <cacheField name="Región" numFmtId="0">
      <sharedItems count="4">
        <s v="Sur"/>
        <s v="Este"/>
        <s v="Norte"/>
        <s v="Oeste"/>
      </sharedItems>
    </cacheField>
    <cacheField name="Fecha de Entrega" numFmtId="164">
      <sharedItems containsSemiMixedTypes="0" containsNonDate="0" containsDate="1" containsString="0" minDate="2022-01-08T00:00:00" maxDate="2025-12-17T00:00:00"/>
    </cacheField>
    <cacheField name="Transportadora" numFmtId="0">
      <sharedItems/>
    </cacheField>
    <cacheField name="Forma de Pago" numFmtId="0">
      <sharedItems/>
    </cacheField>
    <cacheField name="Nombre del Producto" numFmtId="0">
      <sharedItems/>
    </cacheField>
    <cacheField name="Categoría" numFmtId="0">
      <sharedItems count="10">
        <s v="Aceites"/>
        <s v="Verduras"/>
        <s v="Dulces"/>
        <s v="Lácteos"/>
        <s v="Bebidas"/>
        <s v="Granos"/>
        <s v="Carnes"/>
        <s v="Condimentos"/>
        <s v="Proteínas"/>
        <s v="Panadería"/>
      </sharedItems>
    </cacheField>
    <cacheField name="Precio Unitario" numFmtId="165">
      <sharedItems containsSemiMixedTypes="0" containsString="0" containsNumber="1" minValue="2029.81" maxValue="19967.599999999999"/>
    </cacheField>
    <cacheField name="Cantidad" numFmtId="0">
      <sharedItems containsSemiMixedTypes="0" containsString="0" containsNumber="1" containsInteger="1" minValue="1" maxValue="50"/>
    </cacheField>
    <cacheField name="Ingreso Total" numFmtId="165">
      <sharedItems containsSemiMixedTypes="0" containsString="0" containsNumber="1" minValue="2029.81" maxValue="922338.72" count="200">
        <n v="179872.2"/>
        <n v="418141.68"/>
        <n v="156286.94"/>
        <n v="38290.160000000003"/>
        <n v="159757.92000000001"/>
        <n v="50089.8"/>
        <n v="182603.74"/>
        <n v="86458.75"/>
        <n v="36955.760000000002"/>
        <n v="13704.24"/>
        <n v="661838.4"/>
        <n v="99838"/>
        <n v="286183.03999999998"/>
        <n v="185404.5"/>
        <n v="71723"/>
        <n v="618997.96"/>
        <n v="220840.56"/>
        <n v="70938.8"/>
        <n v="64195.3"/>
        <n v="107523.36"/>
        <n v="377624.4"/>
        <n v="638851.95000000007"/>
        <n v="797113.79999999993"/>
        <n v="337210.02"/>
        <n v="60876"/>
        <n v="293837.28000000003"/>
        <n v="491660.78"/>
        <n v="52786.14"/>
        <n v="695728.38"/>
        <n v="354822.6"/>
        <n v="62947.399999999987"/>
        <n v="503524.32"/>
        <n v="117566.68"/>
        <n v="107655.15"/>
        <n v="169725.1"/>
        <n v="14917.3"/>
        <n v="400624"/>
        <n v="815347.67999999993"/>
        <n v="678691.2"/>
        <n v="520366.55999999988"/>
        <n v="174902.7"/>
        <n v="21724.3"/>
        <n v="114911.52"/>
        <n v="256808.34"/>
        <n v="718949.18"/>
        <n v="922338.72"/>
        <n v="66505.39"/>
        <n v="558749.89"/>
        <n v="616272.03"/>
        <n v="19850.02"/>
        <n v="502911.5"/>
        <n v="225182.52"/>
        <n v="156738.12"/>
        <n v="489818.93999999989"/>
        <n v="204983.94"/>
        <n v="194268.92"/>
        <n v="130065.8"/>
        <n v="22759.89"/>
        <n v="799469.28"/>
        <n v="497861.44"/>
        <n v="86714.459999999992"/>
        <n v="329274.44"/>
        <n v="100998.9"/>
        <n v="214422.7"/>
        <n v="30876.6"/>
        <n v="165391.81"/>
        <n v="90981.4"/>
        <n v="159732.20000000001"/>
        <n v="83599.349999999991"/>
        <n v="127861.92"/>
        <n v="90561.72"/>
        <n v="166687.38"/>
        <n v="331595.21999999997"/>
        <n v="501570.89"/>
        <n v="273237.44"/>
        <n v="85037.759999999995"/>
        <n v="144725.9"/>
        <n v="38179.65"/>
        <n v="218570"/>
        <n v="59364.72"/>
        <n v="148258.6"/>
        <n v="278755.56"/>
        <n v="124854.32"/>
        <n v="118775.79"/>
        <n v="469643.85"/>
        <n v="27934.35"/>
        <n v="727507.48"/>
        <n v="83122.5"/>
        <n v="244957.65"/>
        <n v="232617.32"/>
        <n v="38232.78"/>
        <n v="457540.72"/>
        <n v="393561.87"/>
        <n v="144763.9"/>
        <n v="416894.8"/>
        <n v="57755.360000000001"/>
        <n v="568999.18000000005"/>
        <n v="298550.28999999998"/>
        <n v="688884.48"/>
        <n v="226240"/>
        <n v="206508.32"/>
        <n v="56636.68"/>
        <n v="173649.4"/>
        <n v="68863.959999999992"/>
        <n v="279066.23999999999"/>
        <n v="121628.01"/>
        <n v="432597.34"/>
        <n v="270080.36"/>
        <n v="152632.54999999999"/>
        <n v="45513.93"/>
        <n v="16407.38"/>
        <n v="211207.81"/>
        <n v="245508.6"/>
        <n v="176223.84"/>
        <n v="77160.600000000006"/>
        <n v="464402.52"/>
        <n v="274013.84999999998"/>
        <n v="359234.4"/>
        <n v="364775.04"/>
        <n v="658868.73"/>
        <n v="130146.48"/>
        <n v="33655.26"/>
        <n v="47097.99"/>
        <n v="125735.99"/>
        <n v="32771.74"/>
        <n v="241977"/>
        <n v="494132.64"/>
        <n v="12949.68"/>
        <n v="409728.32"/>
        <n v="94833.82"/>
        <n v="35878.050000000003"/>
        <n v="193454.66"/>
        <n v="674411.76"/>
        <n v="77784.88"/>
        <n v="353639.4"/>
        <n v="438875.8"/>
        <n v="57874.39"/>
        <n v="419932.66"/>
        <n v="48079.55"/>
        <n v="252015.2"/>
        <n v="475134.24"/>
        <n v="726014.6399999999"/>
        <n v="131618.28"/>
        <n v="537178.21"/>
        <n v="32189.4"/>
        <n v="681883.67999999993"/>
        <n v="396535.88"/>
        <n v="71874.320000000007"/>
        <n v="295845.56"/>
        <n v="538158.96"/>
        <n v="133195.37"/>
        <n v="310364.95"/>
        <n v="100004.1"/>
        <n v="695238.95"/>
        <n v="142622.39999999999"/>
        <n v="607157.16"/>
        <n v="573301.77"/>
        <n v="333977.53999999998"/>
        <n v="635649.24"/>
        <n v="175547.65"/>
        <n v="271013.92"/>
        <n v="200561.34"/>
        <n v="592138.5"/>
        <n v="81478.75"/>
        <n v="21828.2"/>
        <n v="36245.699999999997"/>
        <n v="408582.3"/>
        <n v="115593.11"/>
        <n v="824118.65"/>
        <n v="54833.279999999999"/>
        <n v="493383.29"/>
        <n v="61854.820000000007"/>
        <n v="104003.76"/>
        <n v="2029.81"/>
        <n v="227896.56"/>
        <n v="153218.1"/>
        <n v="212010.06"/>
        <n v="495154.06000000011"/>
        <n v="453789.68"/>
        <n v="310258.73"/>
        <n v="223626.25"/>
        <n v="238507.2"/>
        <n v="447651.53"/>
        <n v="311683.92"/>
        <n v="40403.300000000003"/>
        <n v="537705.09"/>
        <n v="504507.95"/>
        <n v="387703"/>
        <n v="513612.48"/>
        <n v="242890.65"/>
        <n v="246496.74"/>
        <n v="141729.92000000001"/>
        <n v="148979"/>
        <n v="258506.4"/>
        <n v="117602.28"/>
        <n v="130255.16"/>
        <n v="355936.5"/>
        <n v="31508.3"/>
        <n v="477832.68"/>
        <n v="567460.5"/>
      </sharedItems>
      <fieldGroup base="15">
        <rangePr autoStart="0" autoEnd="0" startNum="0" endNum="1000000" groupInterval="200000"/>
        <groupItems count="7">
          <s v="&lt;0"/>
          <s v="0-200000"/>
          <s v="200000-400000"/>
          <s v="400000-600000"/>
          <s v="600000-800000"/>
          <s v="800000-1000000"/>
          <s v="&gt;1000000"/>
        </groupItems>
      </fieldGroup>
    </cacheField>
    <cacheField name="Meses (Fecha de Orden)" numFmtId="0" databaseField="0">
      <fieldGroup base="1">
        <rangePr groupBy="months" startDate="2022-01-02T00:00:00" endDate="2025-12-12T00:00:00"/>
        <groupItems count="14">
          <s v="&lt;2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2/12/2025"/>
        </groupItems>
      </fieldGroup>
    </cacheField>
  </cacheFields>
  <extLst>
    <ext xmlns:x14="http://schemas.microsoft.com/office/spreadsheetml/2009/9/main" uri="{725AE2AE-9491-48be-B2B4-4EB974FC3084}">
      <x14:pivotCacheDefinition pivotCacheId="16503317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FO-0001"/>
    <x v="0"/>
    <s v="CL-0001"/>
    <x v="0"/>
    <s v="Barranquilla"/>
    <x v="0"/>
    <s v="V-719"/>
    <x v="0"/>
    <d v="2023-10-26T00:00:00"/>
    <s v="Coordinadora"/>
    <s v="Nequi"/>
    <s v="Aceite"/>
    <x v="0"/>
    <n v="17987.22"/>
    <n v="10"/>
    <x v="0"/>
  </r>
  <r>
    <s v="FO-0002"/>
    <x v="1"/>
    <s v="CL-0002"/>
    <x v="1"/>
    <s v="Cartagena"/>
    <x v="1"/>
    <s v="V-221"/>
    <x v="1"/>
    <d v="2024-11-09T00:00:00"/>
    <s v="Envía"/>
    <s v="Nequi"/>
    <s v="Papa"/>
    <x v="1"/>
    <n v="17422.57"/>
    <n v="24"/>
    <x v="1"/>
  </r>
  <r>
    <s v="FO-0003"/>
    <x v="2"/>
    <s v="CL-0003"/>
    <x v="2"/>
    <s v="Pereira"/>
    <x v="2"/>
    <s v="V-638"/>
    <x v="2"/>
    <d v="2023-09-19T00:00:00"/>
    <s v="Coordinadora"/>
    <s v="Cheque"/>
    <s v="Azúcar"/>
    <x v="2"/>
    <n v="3634.58"/>
    <n v="43"/>
    <x v="2"/>
  </r>
  <r>
    <s v="FO-0004"/>
    <x v="3"/>
    <s v="CL-0004"/>
    <x v="1"/>
    <s v="Bogotá"/>
    <x v="3"/>
    <s v="V-485"/>
    <x v="1"/>
    <d v="2024-10-26T00:00:00"/>
    <s v="Coordinadora"/>
    <s v="Nequi"/>
    <s v="Leche"/>
    <x v="3"/>
    <n v="9572.5400000000009"/>
    <n v="4"/>
    <x v="3"/>
  </r>
  <r>
    <s v="FO-0005"/>
    <x v="4"/>
    <s v="CL-0005"/>
    <x v="3"/>
    <s v="Cartagena"/>
    <x v="4"/>
    <s v="V-295"/>
    <x v="2"/>
    <d v="2023-06-10T00:00:00"/>
    <s v="Deprisa"/>
    <s v="Crédito"/>
    <s v="Café"/>
    <x v="4"/>
    <n v="7607.52"/>
    <n v="21"/>
    <x v="4"/>
  </r>
  <r>
    <s v="FO-0006"/>
    <x v="5"/>
    <s v="CL-0006"/>
    <x v="2"/>
    <s v="Medellín"/>
    <x v="5"/>
    <s v="V-895"/>
    <x v="3"/>
    <d v="2024-07-25T00:00:00"/>
    <s v="Coordinadora"/>
    <s v="Efectivo"/>
    <s v="Frijoles"/>
    <x v="5"/>
    <n v="4174.1499999999996"/>
    <n v="12"/>
    <x v="5"/>
  </r>
  <r>
    <s v="FO-0007"/>
    <x v="6"/>
    <s v="CL-0007"/>
    <x v="4"/>
    <s v="Medellín"/>
    <x v="6"/>
    <s v="V-361"/>
    <x v="0"/>
    <d v="2022-03-10T00:00:00"/>
    <s v="Servientrega"/>
    <s v="Efectivo"/>
    <s v="Pasta"/>
    <x v="5"/>
    <n v="8300.17"/>
    <n v="22"/>
    <x v="6"/>
  </r>
  <r>
    <s v="FO-0008"/>
    <x v="7"/>
    <s v="CL-0008"/>
    <x v="2"/>
    <s v="Medellín"/>
    <x v="4"/>
    <s v="V-768"/>
    <x v="2"/>
    <d v="2023-03-17T00:00:00"/>
    <s v="Envía"/>
    <s v="Nequi"/>
    <s v="Frijoles"/>
    <x v="5"/>
    <n v="12351.25"/>
    <n v="7"/>
    <x v="7"/>
  </r>
  <r>
    <s v="FO-0009"/>
    <x v="8"/>
    <s v="CL-0009"/>
    <x v="5"/>
    <s v="Manizales"/>
    <x v="5"/>
    <s v="V-778"/>
    <x v="2"/>
    <d v="2024-03-15T00:00:00"/>
    <s v="Servientrega"/>
    <s v="Cheque"/>
    <s v="Pollo"/>
    <x v="6"/>
    <n v="9238.94"/>
    <n v="4"/>
    <x v="8"/>
  </r>
  <r>
    <s v="FO-0010"/>
    <x v="9"/>
    <s v="CL-0010"/>
    <x v="6"/>
    <s v="Manizales"/>
    <x v="1"/>
    <s v="V-994"/>
    <x v="0"/>
    <d v="2022-12-14T00:00:00"/>
    <s v="Envía"/>
    <s v="Cheque"/>
    <s v="Sal"/>
    <x v="7"/>
    <n v="6852.12"/>
    <n v="2"/>
    <x v="9"/>
  </r>
  <r>
    <s v="FO-0011"/>
    <x v="10"/>
    <s v="CL-0011"/>
    <x v="4"/>
    <s v="Cúcuta"/>
    <x v="1"/>
    <s v="V-672"/>
    <x v="1"/>
    <d v="2025-05-24T00:00:00"/>
    <s v="Envía"/>
    <s v="Efectivo"/>
    <s v="Azúcar"/>
    <x v="2"/>
    <n v="14707.52"/>
    <n v="45"/>
    <x v="10"/>
  </r>
  <r>
    <s v="FO-0012"/>
    <x v="11"/>
    <s v="CL-0012"/>
    <x v="6"/>
    <s v="Manizales"/>
    <x v="5"/>
    <s v="V-288"/>
    <x v="1"/>
    <d v="2024-04-05T00:00:00"/>
    <s v="Deprisa"/>
    <s v="Cheque"/>
    <s v="Papa"/>
    <x v="1"/>
    <n v="19967.599999999999"/>
    <n v="5"/>
    <x v="11"/>
  </r>
  <r>
    <s v="FO-0013"/>
    <x v="12"/>
    <s v="CL-0013"/>
    <x v="5"/>
    <s v="Bogotá"/>
    <x v="2"/>
    <s v="V-215"/>
    <x v="1"/>
    <d v="2022-08-17T00:00:00"/>
    <s v="Deprisa"/>
    <s v="Crédito"/>
    <s v="Pasta"/>
    <x v="5"/>
    <n v="17886.439999999999"/>
    <n v="16"/>
    <x v="12"/>
  </r>
  <r>
    <s v="FO-0014"/>
    <x v="13"/>
    <s v="CL-0014"/>
    <x v="6"/>
    <s v="Santa Marta"/>
    <x v="7"/>
    <s v="V-466"/>
    <x v="0"/>
    <d v="2025-09-27T00:00:00"/>
    <s v="Envía"/>
    <s v="Cheque"/>
    <s v="Huevos"/>
    <x v="8"/>
    <n v="7416.18"/>
    <n v="25"/>
    <x v="13"/>
  </r>
  <r>
    <s v="FO-0015"/>
    <x v="14"/>
    <s v="CL-0015"/>
    <x v="0"/>
    <s v="Cali"/>
    <x v="1"/>
    <s v="V-801"/>
    <x v="3"/>
    <d v="2024-05-02T00:00:00"/>
    <s v="Deprisa"/>
    <s v="Cheque"/>
    <s v="Azúcar"/>
    <x v="2"/>
    <n v="7172.3"/>
    <n v="10"/>
    <x v="14"/>
  </r>
  <r>
    <s v="FO-0016"/>
    <x v="15"/>
    <s v="CL-0016"/>
    <x v="4"/>
    <s v="Santa Marta"/>
    <x v="5"/>
    <s v="V-360"/>
    <x v="0"/>
    <d v="2023-07-02T00:00:00"/>
    <s v="Envía"/>
    <s v="Efectivo"/>
    <s v="Café"/>
    <x v="4"/>
    <n v="16289.42"/>
    <n v="38"/>
    <x v="15"/>
  </r>
  <r>
    <s v="FO-0017"/>
    <x v="16"/>
    <s v="CL-0017"/>
    <x v="5"/>
    <s v="Medellín"/>
    <x v="4"/>
    <s v="V-592"/>
    <x v="3"/>
    <d v="2025-11-05T00:00:00"/>
    <s v="TCC"/>
    <s v="Nequi"/>
    <s v="Pollo"/>
    <x v="6"/>
    <n v="8179.28"/>
    <n v="27"/>
    <x v="16"/>
  </r>
  <r>
    <s v="FO-0018"/>
    <x v="17"/>
    <s v="CL-0018"/>
    <x v="0"/>
    <s v="Bogotá"/>
    <x v="4"/>
    <s v="V-598"/>
    <x v="1"/>
    <d v="2023-05-31T00:00:00"/>
    <s v="TCC"/>
    <s v="Nequi"/>
    <s v="Huevos"/>
    <x v="8"/>
    <n v="7093.88"/>
    <n v="10"/>
    <x v="17"/>
  </r>
  <r>
    <s v="FO-0019"/>
    <x v="18"/>
    <s v="CL-0019"/>
    <x v="4"/>
    <s v="Manizales"/>
    <x v="3"/>
    <s v="V-806"/>
    <x v="1"/>
    <d v="2022-08-16T00:00:00"/>
    <s v="Envía"/>
    <s v="Cheque"/>
    <s v="Carne de res"/>
    <x v="6"/>
    <n v="4938.1000000000004"/>
    <n v="13"/>
    <x v="18"/>
  </r>
  <r>
    <s v="FO-0020"/>
    <x v="19"/>
    <s v="CL-0020"/>
    <x v="4"/>
    <s v="Santa Marta"/>
    <x v="0"/>
    <s v="V-988"/>
    <x v="2"/>
    <d v="2022-02-04T00:00:00"/>
    <s v="Coordinadora"/>
    <s v="Efectivo"/>
    <s v="Café"/>
    <x v="4"/>
    <n v="5120.16"/>
    <n v="21"/>
    <x v="19"/>
  </r>
  <r>
    <s v="FO-0021"/>
    <x v="20"/>
    <s v="CL-0021"/>
    <x v="2"/>
    <s v="Cali"/>
    <x v="2"/>
    <s v="V-863"/>
    <x v="2"/>
    <d v="2024-02-24T00:00:00"/>
    <s v="TCC"/>
    <s v="Cheque"/>
    <s v="Papa"/>
    <x v="1"/>
    <n v="18881.22"/>
    <n v="20"/>
    <x v="20"/>
  </r>
  <r>
    <s v="FO-0022"/>
    <x v="21"/>
    <s v="CL-0022"/>
    <x v="6"/>
    <s v="Manizales"/>
    <x v="2"/>
    <s v="V-923"/>
    <x v="0"/>
    <d v="2025-08-08T00:00:00"/>
    <s v="Envía"/>
    <s v="Cheque"/>
    <s v="Pan"/>
    <x v="9"/>
    <n v="19359.150000000001"/>
    <n v="33"/>
    <x v="21"/>
  </r>
  <r>
    <s v="FO-0023"/>
    <x v="22"/>
    <s v="CL-0023"/>
    <x v="3"/>
    <s v="Cúcuta"/>
    <x v="6"/>
    <s v="V-555"/>
    <x v="3"/>
    <d v="2024-10-31T00:00:00"/>
    <s v="Deprisa"/>
    <s v="Crédito"/>
    <s v="Aceite"/>
    <x v="0"/>
    <n v="19441.8"/>
    <n v="41"/>
    <x v="22"/>
  </r>
  <r>
    <s v="FO-0024"/>
    <x v="23"/>
    <s v="CL-0024"/>
    <x v="4"/>
    <s v="Bogotá"/>
    <x v="5"/>
    <s v="V-375"/>
    <x v="2"/>
    <d v="2023-03-21T00:00:00"/>
    <s v="Deprisa"/>
    <s v="Crédito"/>
    <s v="Arroz"/>
    <x v="5"/>
    <n v="12489.26"/>
    <n v="27"/>
    <x v="23"/>
  </r>
  <r>
    <s v="FO-0025"/>
    <x v="24"/>
    <s v="CL-0025"/>
    <x v="1"/>
    <s v="Pereira"/>
    <x v="8"/>
    <s v="V-580"/>
    <x v="2"/>
    <d v="2024-01-06T00:00:00"/>
    <s v="Deprisa"/>
    <s v="Crédito"/>
    <s v="Sal"/>
    <x v="7"/>
    <n v="6764"/>
    <n v="9"/>
    <x v="24"/>
  </r>
  <r>
    <s v="FO-0026"/>
    <x v="25"/>
    <s v="CL-0026"/>
    <x v="6"/>
    <s v="Pereira"/>
    <x v="2"/>
    <s v="V-159"/>
    <x v="1"/>
    <d v="2023-02-09T00:00:00"/>
    <s v="Deprisa"/>
    <s v="Cheque"/>
    <s v="Leche"/>
    <x v="3"/>
    <n v="6678.12"/>
    <n v="44"/>
    <x v="25"/>
  </r>
  <r>
    <s v="FO-0027"/>
    <x v="26"/>
    <s v="CL-0027"/>
    <x v="7"/>
    <s v="Santa Marta"/>
    <x v="4"/>
    <s v="V-769"/>
    <x v="3"/>
    <d v="2022-07-14T00:00:00"/>
    <s v="TCC"/>
    <s v="Efectivo"/>
    <s v="Aceite"/>
    <x v="0"/>
    <n v="18910.03"/>
    <n v="26"/>
    <x v="26"/>
  </r>
  <r>
    <s v="FO-0028"/>
    <x v="27"/>
    <s v="CL-0028"/>
    <x v="4"/>
    <s v="Medellín"/>
    <x v="8"/>
    <s v="V-698"/>
    <x v="3"/>
    <d v="2022-12-17T00:00:00"/>
    <s v="Servientrega"/>
    <s v="Crédito"/>
    <s v="Arroz"/>
    <x v="5"/>
    <n v="8797.69"/>
    <n v="6"/>
    <x v="27"/>
  </r>
  <r>
    <s v="FO-0029"/>
    <x v="28"/>
    <s v="CL-0029"/>
    <x v="8"/>
    <s v="Manizales"/>
    <x v="5"/>
    <s v="V-223"/>
    <x v="1"/>
    <d v="2025-07-29T00:00:00"/>
    <s v="Coordinadora"/>
    <s v="Nequi"/>
    <s v="Frijoles"/>
    <x v="5"/>
    <n v="15124.53"/>
    <n v="46"/>
    <x v="28"/>
  </r>
  <r>
    <s v="FO-0030"/>
    <x v="29"/>
    <s v="CL-0030"/>
    <x v="4"/>
    <s v="Bogotá"/>
    <x v="9"/>
    <s v="V-114"/>
    <x v="2"/>
    <d v="2022-08-07T00:00:00"/>
    <s v="Servientrega"/>
    <s v="Efectivo"/>
    <s v="Aceite"/>
    <x v="0"/>
    <n v="16128.3"/>
    <n v="22"/>
    <x v="29"/>
  </r>
  <r>
    <s v="FO-0031"/>
    <x v="30"/>
    <s v="CL-0031"/>
    <x v="0"/>
    <s v="Barranquilla"/>
    <x v="3"/>
    <s v="V-450"/>
    <x v="0"/>
    <d v="2023-05-04T00:00:00"/>
    <s v="TCC"/>
    <s v="Cheque"/>
    <s v="Arroz"/>
    <x v="5"/>
    <n v="6294.74"/>
    <n v="10"/>
    <x v="30"/>
  </r>
  <r>
    <s v="FO-0032"/>
    <x v="31"/>
    <s v="CL-0032"/>
    <x v="1"/>
    <s v="Cúcuta"/>
    <x v="3"/>
    <s v="V-289"/>
    <x v="2"/>
    <d v="2025-01-21T00:00:00"/>
    <s v="TCC"/>
    <s v="Efectivo"/>
    <s v="Azúcar"/>
    <x v="2"/>
    <n v="10490.09"/>
    <n v="48"/>
    <x v="31"/>
  </r>
  <r>
    <s v="FO-0033"/>
    <x v="32"/>
    <s v="CL-0033"/>
    <x v="5"/>
    <s v="Medellín"/>
    <x v="9"/>
    <s v="V-115"/>
    <x v="0"/>
    <d v="2022-11-20T00:00:00"/>
    <s v="Deprisa"/>
    <s v="Efectivo"/>
    <s v="Carne de res"/>
    <x v="6"/>
    <n v="3093.86"/>
    <n v="38"/>
    <x v="32"/>
  </r>
  <r>
    <s v="FO-0034"/>
    <x v="33"/>
    <s v="CL-0034"/>
    <x v="1"/>
    <s v="Medellín"/>
    <x v="4"/>
    <s v="V-496"/>
    <x v="2"/>
    <d v="2022-09-21T00:00:00"/>
    <s v="Servientrega"/>
    <s v="Crédito"/>
    <s v="Pan"/>
    <x v="9"/>
    <n v="7177.01"/>
    <n v="15"/>
    <x v="33"/>
  </r>
  <r>
    <s v="FO-0035"/>
    <x v="34"/>
    <s v="CL-0035"/>
    <x v="2"/>
    <s v="Santa Marta"/>
    <x v="1"/>
    <s v="V-886"/>
    <x v="3"/>
    <d v="2025-06-22T00:00:00"/>
    <s v="Servientrega"/>
    <s v="Crédito"/>
    <s v="Pollo"/>
    <x v="6"/>
    <n v="4466.45"/>
    <n v="38"/>
    <x v="34"/>
  </r>
  <r>
    <s v="FO-0036"/>
    <x v="35"/>
    <s v="CL-0036"/>
    <x v="0"/>
    <s v="Bogotá"/>
    <x v="6"/>
    <s v="V-217"/>
    <x v="2"/>
    <d v="2023-05-26T00:00:00"/>
    <s v="Servientrega"/>
    <s v="Crédito"/>
    <s v="Pasta"/>
    <x v="5"/>
    <n v="2983.46"/>
    <n v="5"/>
    <x v="35"/>
  </r>
  <r>
    <s v="FO-0037"/>
    <x v="36"/>
    <s v="CL-0037"/>
    <x v="9"/>
    <s v="Bogotá"/>
    <x v="8"/>
    <s v="V-293"/>
    <x v="0"/>
    <d v="2024-12-26T00:00:00"/>
    <s v="TCC"/>
    <s v="Crédito"/>
    <s v="Leche"/>
    <x v="3"/>
    <n v="10015.6"/>
    <n v="40"/>
    <x v="36"/>
  </r>
  <r>
    <s v="FO-0038"/>
    <x v="37"/>
    <s v="CL-0038"/>
    <x v="0"/>
    <s v="Bogotá"/>
    <x v="3"/>
    <s v="V-543"/>
    <x v="3"/>
    <d v="2023-11-18T00:00:00"/>
    <s v="Coordinadora"/>
    <s v="Efectivo"/>
    <s v="Leche"/>
    <x v="3"/>
    <n v="16986.41"/>
    <n v="48"/>
    <x v="37"/>
  </r>
  <r>
    <s v="FO-0039"/>
    <x v="38"/>
    <s v="CL-0039"/>
    <x v="8"/>
    <s v="Bucaramanga"/>
    <x v="5"/>
    <s v="V-613"/>
    <x v="0"/>
    <d v="2022-12-31T00:00:00"/>
    <s v="TCC"/>
    <s v="Efectivo"/>
    <s v="Aceite"/>
    <x v="0"/>
    <n v="16967.28"/>
    <n v="40"/>
    <x v="38"/>
  </r>
  <r>
    <s v="FO-0040"/>
    <x v="39"/>
    <s v="CL-0040"/>
    <x v="0"/>
    <s v="Cali"/>
    <x v="5"/>
    <s v="V-242"/>
    <x v="3"/>
    <d v="2022-09-29T00:00:00"/>
    <s v="Deprisa"/>
    <s v="Cheque"/>
    <s v="Papa"/>
    <x v="1"/>
    <n v="10840.97"/>
    <n v="48"/>
    <x v="39"/>
  </r>
  <r>
    <s v="FO-0041"/>
    <x v="40"/>
    <s v="CL-0041"/>
    <x v="1"/>
    <s v="Pereira"/>
    <x v="7"/>
    <s v="V-496"/>
    <x v="3"/>
    <d v="2024-02-21T00:00:00"/>
    <s v="Coordinadora"/>
    <s v="Nequi"/>
    <s v="Sal"/>
    <x v="7"/>
    <n v="8328.7000000000007"/>
    <n v="21"/>
    <x v="40"/>
  </r>
  <r>
    <s v="FO-0042"/>
    <x v="41"/>
    <s v="CL-0042"/>
    <x v="1"/>
    <s v="Cartagena"/>
    <x v="3"/>
    <s v="V-872"/>
    <x v="2"/>
    <d v="2025-03-09T00:00:00"/>
    <s v="Deprisa"/>
    <s v="Efectivo"/>
    <s v="Azúcar"/>
    <x v="2"/>
    <n v="4344.8599999999997"/>
    <n v="5"/>
    <x v="41"/>
  </r>
  <r>
    <s v="FO-0043"/>
    <x v="3"/>
    <s v="CL-0043"/>
    <x v="9"/>
    <s v="Bogotá"/>
    <x v="8"/>
    <s v="V-426"/>
    <x v="1"/>
    <d v="2024-10-22T00:00:00"/>
    <s v="Deprisa"/>
    <s v="Cheque"/>
    <s v="Arepas"/>
    <x v="9"/>
    <n v="7181.97"/>
    <n v="16"/>
    <x v="42"/>
  </r>
  <r>
    <s v="FO-0044"/>
    <x v="42"/>
    <s v="CL-0044"/>
    <x v="8"/>
    <s v="Cali"/>
    <x v="1"/>
    <s v="V-811"/>
    <x v="1"/>
    <d v="2022-06-02T00:00:00"/>
    <s v="TCC"/>
    <s v="Crédito"/>
    <s v="Aceite"/>
    <x v="0"/>
    <n v="8855.4599999999991"/>
    <n v="29"/>
    <x v="43"/>
  </r>
  <r>
    <s v="FO-0045"/>
    <x v="43"/>
    <s v="CL-0045"/>
    <x v="5"/>
    <s v="Medellín"/>
    <x v="2"/>
    <s v="V-234"/>
    <x v="1"/>
    <d v="2025-06-11T00:00:00"/>
    <s v="Servientrega"/>
    <s v="Efectivo"/>
    <s v="Papa"/>
    <x v="1"/>
    <n v="15629.33"/>
    <n v="46"/>
    <x v="44"/>
  </r>
  <r>
    <s v="FO-0046"/>
    <x v="44"/>
    <s v="CL-0046"/>
    <x v="8"/>
    <s v="Bucaramanga"/>
    <x v="3"/>
    <s v="V-655"/>
    <x v="1"/>
    <d v="2024-02-25T00:00:00"/>
    <s v="TCC"/>
    <s v="Crédito"/>
    <s v="Frijoles"/>
    <x v="5"/>
    <n v="19215.39"/>
    <n v="48"/>
    <x v="45"/>
  </r>
  <r>
    <s v="FO-0047"/>
    <x v="45"/>
    <s v="CL-0047"/>
    <x v="0"/>
    <s v="Cartagena"/>
    <x v="2"/>
    <s v="V-628"/>
    <x v="0"/>
    <d v="2023-12-02T00:00:00"/>
    <s v="TCC"/>
    <s v="Efectivo"/>
    <s v="Pasta"/>
    <x v="5"/>
    <n v="9500.77"/>
    <n v="7"/>
    <x v="46"/>
  </r>
  <r>
    <s v="FO-0048"/>
    <x v="46"/>
    <s v="CL-0048"/>
    <x v="4"/>
    <s v="Barranquilla"/>
    <x v="9"/>
    <s v="V-489"/>
    <x v="1"/>
    <d v="2023-10-28T00:00:00"/>
    <s v="Envía"/>
    <s v="Efectivo"/>
    <s v="Frijoles"/>
    <x v="5"/>
    <n v="18024.189999999999"/>
    <n v="31"/>
    <x v="47"/>
  </r>
  <r>
    <s v="FO-0049"/>
    <x v="47"/>
    <s v="CL-0049"/>
    <x v="8"/>
    <s v="Cali"/>
    <x v="5"/>
    <s v="V-550"/>
    <x v="3"/>
    <d v="2023-02-13T00:00:00"/>
    <s v="Servientrega"/>
    <s v="Cheque"/>
    <s v="Pollo"/>
    <x v="6"/>
    <n v="18674.91"/>
    <n v="33"/>
    <x v="48"/>
  </r>
  <r>
    <s v="FO-0050"/>
    <x v="48"/>
    <s v="CL-0050"/>
    <x v="9"/>
    <s v="Barranquilla"/>
    <x v="7"/>
    <s v="V-230"/>
    <x v="2"/>
    <d v="2025-05-08T00:00:00"/>
    <s v="TCC"/>
    <s v="Crédito"/>
    <s v="Pasta"/>
    <x v="5"/>
    <n v="9925.01"/>
    <n v="2"/>
    <x v="49"/>
  </r>
  <r>
    <s v="FO-0051"/>
    <x v="49"/>
    <s v="CL-0051"/>
    <x v="3"/>
    <s v="Cali"/>
    <x v="8"/>
    <s v="V-136"/>
    <x v="3"/>
    <d v="2022-09-13T00:00:00"/>
    <s v="TCC"/>
    <s v="Crédito"/>
    <s v="Carne de res"/>
    <x v="6"/>
    <n v="10263.5"/>
    <n v="49"/>
    <x v="50"/>
  </r>
  <r>
    <s v="FO-0052"/>
    <x v="50"/>
    <s v="CL-0052"/>
    <x v="1"/>
    <s v="Medellín"/>
    <x v="9"/>
    <s v="V-888"/>
    <x v="3"/>
    <d v="2025-04-23T00:00:00"/>
    <s v="Envía"/>
    <s v="Crédito"/>
    <s v="Café"/>
    <x v="4"/>
    <n v="12510.14"/>
    <n v="18"/>
    <x v="51"/>
  </r>
  <r>
    <s v="FO-0053"/>
    <x v="51"/>
    <s v="CL-0053"/>
    <x v="5"/>
    <s v="Santa Marta"/>
    <x v="2"/>
    <s v="V-634"/>
    <x v="1"/>
    <d v="2025-07-02T00:00:00"/>
    <s v="Envía"/>
    <s v="Cheque"/>
    <s v="Frijoles"/>
    <x v="5"/>
    <n v="7463.72"/>
    <n v="21"/>
    <x v="52"/>
  </r>
  <r>
    <s v="FO-0054"/>
    <x v="52"/>
    <s v="CL-0054"/>
    <x v="7"/>
    <s v="Manizales"/>
    <x v="4"/>
    <s v="V-889"/>
    <x v="1"/>
    <d v="2022-03-20T00:00:00"/>
    <s v="Deprisa"/>
    <s v="Efectivo"/>
    <s v="Leche"/>
    <x v="3"/>
    <n v="18839.189999999999"/>
    <n v="26"/>
    <x v="53"/>
  </r>
  <r>
    <s v="FO-0055"/>
    <x v="53"/>
    <s v="CL-0055"/>
    <x v="3"/>
    <s v="Santa Marta"/>
    <x v="8"/>
    <s v="V-142"/>
    <x v="1"/>
    <d v="2025-06-19T00:00:00"/>
    <s v="TCC"/>
    <s v="Efectivo"/>
    <s v="Pasta"/>
    <x v="5"/>
    <n v="9761.14"/>
    <n v="21"/>
    <x v="54"/>
  </r>
  <r>
    <s v="FO-0056"/>
    <x v="54"/>
    <s v="CL-0056"/>
    <x v="4"/>
    <s v="Bogotá"/>
    <x v="4"/>
    <s v="V-274"/>
    <x v="2"/>
    <d v="2025-10-03T00:00:00"/>
    <s v="Coordinadora"/>
    <s v="Efectivo"/>
    <s v="Tomate"/>
    <x v="1"/>
    <n v="5112.34"/>
    <n v="38"/>
    <x v="55"/>
  </r>
  <r>
    <s v="FO-0057"/>
    <x v="55"/>
    <s v="CL-0057"/>
    <x v="4"/>
    <s v="Santa Marta"/>
    <x v="5"/>
    <s v="V-777"/>
    <x v="2"/>
    <d v="2023-03-02T00:00:00"/>
    <s v="Coordinadora"/>
    <s v="Nequi"/>
    <s v="Arepas"/>
    <x v="9"/>
    <n v="6503.29"/>
    <n v="20"/>
    <x v="56"/>
  </r>
  <r>
    <s v="FO-0058"/>
    <x v="56"/>
    <s v="CL-0058"/>
    <x v="1"/>
    <s v="Santa Marta"/>
    <x v="7"/>
    <s v="V-921"/>
    <x v="2"/>
    <d v="2025-07-17T00:00:00"/>
    <s v="Servientrega"/>
    <s v="Cheque"/>
    <s v="Carne de res"/>
    <x v="6"/>
    <n v="7586.63"/>
    <n v="3"/>
    <x v="57"/>
  </r>
  <r>
    <s v="FO-0059"/>
    <x v="57"/>
    <s v="CL-0059"/>
    <x v="1"/>
    <s v="Bogotá"/>
    <x v="5"/>
    <s v="V-876"/>
    <x v="3"/>
    <d v="2022-03-05T00:00:00"/>
    <s v="Servientrega"/>
    <s v="Cheque"/>
    <s v="Arroz"/>
    <x v="5"/>
    <n v="16655.61"/>
    <n v="48"/>
    <x v="58"/>
  </r>
  <r>
    <s v="FO-0060"/>
    <x v="58"/>
    <s v="CL-0060"/>
    <x v="8"/>
    <s v="Barranquilla"/>
    <x v="4"/>
    <s v="V-843"/>
    <x v="1"/>
    <d v="2024-02-26T00:00:00"/>
    <s v="Servientrega"/>
    <s v="Cheque"/>
    <s v="Pan"/>
    <x v="9"/>
    <n v="15558.17"/>
    <n v="32"/>
    <x v="59"/>
  </r>
  <r>
    <s v="FO-0061"/>
    <x v="59"/>
    <s v="CL-0061"/>
    <x v="3"/>
    <s v="Bucaramanga"/>
    <x v="3"/>
    <s v="V-302"/>
    <x v="0"/>
    <d v="2022-05-12T00:00:00"/>
    <s v="Deprisa"/>
    <s v="Nequi"/>
    <s v="Arepas"/>
    <x v="9"/>
    <n v="14452.41"/>
    <n v="6"/>
    <x v="60"/>
  </r>
  <r>
    <s v="FO-0062"/>
    <x v="60"/>
    <s v="CL-0062"/>
    <x v="3"/>
    <s v="Manizales"/>
    <x v="8"/>
    <s v="V-984"/>
    <x v="3"/>
    <d v="2025-08-18T00:00:00"/>
    <s v="Servientrega"/>
    <s v="Crédito"/>
    <s v="Frijoles"/>
    <x v="5"/>
    <n v="14316.28"/>
    <n v="23"/>
    <x v="61"/>
  </r>
  <r>
    <s v="FO-0063"/>
    <x v="61"/>
    <s v="CL-0063"/>
    <x v="2"/>
    <s v="Bogotá"/>
    <x v="6"/>
    <s v="V-136"/>
    <x v="1"/>
    <d v="2023-06-20T00:00:00"/>
    <s v="TCC"/>
    <s v="Crédito"/>
    <s v="Carne de res"/>
    <x v="6"/>
    <n v="6733.26"/>
    <n v="15"/>
    <x v="62"/>
  </r>
  <r>
    <s v="FO-0064"/>
    <x v="62"/>
    <s v="CL-0064"/>
    <x v="6"/>
    <s v="Cartagena"/>
    <x v="8"/>
    <s v="V-654"/>
    <x v="1"/>
    <d v="2024-11-11T00:00:00"/>
    <s v="Envía"/>
    <s v="Crédito"/>
    <s v="Aceite"/>
    <x v="0"/>
    <n v="12613.1"/>
    <n v="17"/>
    <x v="63"/>
  </r>
  <r>
    <s v="FO-0065"/>
    <x v="63"/>
    <s v="CL-0065"/>
    <x v="9"/>
    <s v="Cúcuta"/>
    <x v="6"/>
    <s v="V-488"/>
    <x v="3"/>
    <d v="2023-01-13T00:00:00"/>
    <s v="Deprisa"/>
    <s v="Crédito"/>
    <s v="Leche"/>
    <x v="3"/>
    <n v="3087.66"/>
    <n v="10"/>
    <x v="64"/>
  </r>
  <r>
    <s v="FO-0066"/>
    <x v="64"/>
    <s v="CL-0066"/>
    <x v="5"/>
    <s v="Pereira"/>
    <x v="3"/>
    <s v="V-265"/>
    <x v="1"/>
    <d v="2024-12-15T00:00:00"/>
    <s v="Deprisa"/>
    <s v="Cheque"/>
    <s v="Pasta"/>
    <x v="5"/>
    <n v="9728.93"/>
    <n v="17"/>
    <x v="65"/>
  </r>
  <r>
    <s v="FO-0067"/>
    <x v="65"/>
    <s v="CL-0067"/>
    <x v="6"/>
    <s v="Cúcuta"/>
    <x v="8"/>
    <s v="V-693"/>
    <x v="2"/>
    <d v="2022-09-02T00:00:00"/>
    <s v="Deprisa"/>
    <s v="Nequi"/>
    <s v="Huevos"/>
    <x v="8"/>
    <n v="4549.07"/>
    <n v="20"/>
    <x v="66"/>
  </r>
  <r>
    <s v="FO-0068"/>
    <x v="66"/>
    <s v="CL-0068"/>
    <x v="2"/>
    <s v="Medellín"/>
    <x v="5"/>
    <s v="V-357"/>
    <x v="0"/>
    <d v="2023-02-23T00:00:00"/>
    <s v="Deprisa"/>
    <s v="Crédito"/>
    <s v="Carne de res"/>
    <x v="6"/>
    <n v="7986.61"/>
    <n v="20"/>
    <x v="67"/>
  </r>
  <r>
    <s v="FO-0069"/>
    <x v="67"/>
    <s v="CL-0069"/>
    <x v="7"/>
    <s v="Barranquilla"/>
    <x v="0"/>
    <s v="V-728"/>
    <x v="3"/>
    <d v="2024-11-03T00:00:00"/>
    <s v="Envía"/>
    <s v="Crédito"/>
    <s v="Pan"/>
    <x v="9"/>
    <n v="16719.87"/>
    <n v="5"/>
    <x v="68"/>
  </r>
  <r>
    <s v="FO-0070"/>
    <x v="68"/>
    <s v="CL-0070"/>
    <x v="1"/>
    <s v="Cali"/>
    <x v="8"/>
    <s v="V-401"/>
    <x v="1"/>
    <d v="2025-09-12T00:00:00"/>
    <s v="Deprisa"/>
    <s v="Nequi"/>
    <s v="Arroz"/>
    <x v="5"/>
    <n v="14206.88"/>
    <n v="9"/>
    <x v="69"/>
  </r>
  <r>
    <s v="FO-0071"/>
    <x v="69"/>
    <s v="CL-0071"/>
    <x v="1"/>
    <s v="Pereira"/>
    <x v="6"/>
    <s v="V-212"/>
    <x v="2"/>
    <d v="2024-11-07T00:00:00"/>
    <s v="Deprisa"/>
    <s v="Cheque"/>
    <s v="Pan"/>
    <x v="9"/>
    <n v="15093.62"/>
    <n v="6"/>
    <x v="70"/>
  </r>
  <r>
    <s v="FO-0072"/>
    <x v="70"/>
    <s v="CL-0072"/>
    <x v="4"/>
    <s v="Manizales"/>
    <x v="5"/>
    <s v="V-519"/>
    <x v="2"/>
    <d v="2023-08-16T00:00:00"/>
    <s v="TCC"/>
    <s v="Cheque"/>
    <s v="Sal"/>
    <x v="7"/>
    <n v="4386.51"/>
    <n v="38"/>
    <x v="71"/>
  </r>
  <r>
    <s v="FO-0073"/>
    <x v="71"/>
    <s v="CL-0073"/>
    <x v="1"/>
    <s v="Bucaramanga"/>
    <x v="4"/>
    <s v="V-705"/>
    <x v="2"/>
    <d v="2025-08-12T00:00:00"/>
    <s v="Deprisa"/>
    <s v="Efectivo"/>
    <s v="Carne de res"/>
    <x v="6"/>
    <n v="8726.19"/>
    <n v="38"/>
    <x v="72"/>
  </r>
  <r>
    <s v="FO-0074"/>
    <x v="72"/>
    <s v="CL-0074"/>
    <x v="0"/>
    <s v="Cartagena"/>
    <x v="5"/>
    <s v="V-113"/>
    <x v="3"/>
    <d v="2024-03-01T00:00:00"/>
    <s v="Coordinadora"/>
    <s v="Cheque"/>
    <s v="Carne de res"/>
    <x v="6"/>
    <n v="13555.97"/>
    <n v="37"/>
    <x v="73"/>
  </r>
  <r>
    <s v="FO-0075"/>
    <x v="73"/>
    <s v="CL-0075"/>
    <x v="1"/>
    <s v="Pereira"/>
    <x v="2"/>
    <s v="V-331"/>
    <x v="2"/>
    <d v="2025-03-26T00:00:00"/>
    <s v="Servientrega"/>
    <s v="Cheque"/>
    <s v="Huevos"/>
    <x v="8"/>
    <n v="8538.67"/>
    <n v="32"/>
    <x v="74"/>
  </r>
  <r>
    <s v="FO-0076"/>
    <x v="17"/>
    <s v="CL-0076"/>
    <x v="2"/>
    <s v="Santa Marta"/>
    <x v="7"/>
    <s v="V-509"/>
    <x v="1"/>
    <d v="2023-05-31T00:00:00"/>
    <s v="Servientrega"/>
    <s v="Cheque"/>
    <s v="Papa"/>
    <x v="1"/>
    <n v="5314.86"/>
    <n v="16"/>
    <x v="75"/>
  </r>
  <r>
    <s v="FO-0077"/>
    <x v="74"/>
    <s v="CL-0077"/>
    <x v="5"/>
    <s v="Bucaramanga"/>
    <x v="6"/>
    <s v="V-399"/>
    <x v="0"/>
    <d v="2023-02-23T00:00:00"/>
    <s v="Deprisa"/>
    <s v="Cheque"/>
    <s v="Arepas"/>
    <x v="9"/>
    <n v="14472.59"/>
    <n v="10"/>
    <x v="76"/>
  </r>
  <r>
    <s v="FO-0078"/>
    <x v="75"/>
    <s v="CL-0078"/>
    <x v="3"/>
    <s v="Manizales"/>
    <x v="2"/>
    <s v="V-800"/>
    <x v="3"/>
    <d v="2023-12-18T00:00:00"/>
    <s v="Deprisa"/>
    <s v="Nequi"/>
    <s v="Papa"/>
    <x v="1"/>
    <n v="2545.31"/>
    <n v="15"/>
    <x v="77"/>
  </r>
  <r>
    <s v="FO-0079"/>
    <x v="76"/>
    <s v="CL-0079"/>
    <x v="4"/>
    <s v="Barranquilla"/>
    <x v="8"/>
    <s v="V-933"/>
    <x v="2"/>
    <d v="2022-10-17T00:00:00"/>
    <s v="Envía"/>
    <s v="Efectivo"/>
    <s v="Leche"/>
    <x v="3"/>
    <n v="10928.5"/>
    <n v="20"/>
    <x v="78"/>
  </r>
  <r>
    <s v="FO-0080"/>
    <x v="77"/>
    <s v="CL-0080"/>
    <x v="2"/>
    <s v="Bucaramanga"/>
    <x v="7"/>
    <s v="V-767"/>
    <x v="0"/>
    <d v="2025-08-03T00:00:00"/>
    <s v="Envía"/>
    <s v="Efectivo"/>
    <s v="Aceite"/>
    <x v="0"/>
    <n v="3298.04"/>
    <n v="18"/>
    <x v="79"/>
  </r>
  <r>
    <s v="FO-0081"/>
    <x v="78"/>
    <s v="CL-0081"/>
    <x v="1"/>
    <s v="Pereira"/>
    <x v="4"/>
    <s v="V-728"/>
    <x v="2"/>
    <d v="2022-05-13T00:00:00"/>
    <s v="TCC"/>
    <s v="Crédito"/>
    <s v="Papa"/>
    <x v="1"/>
    <n v="14825.86"/>
    <n v="10"/>
    <x v="80"/>
  </r>
  <r>
    <s v="FO-0082"/>
    <x v="79"/>
    <s v="CL-0082"/>
    <x v="8"/>
    <s v="Bucaramanga"/>
    <x v="1"/>
    <s v="V-220"/>
    <x v="0"/>
    <d v="2023-01-27T00:00:00"/>
    <s v="Envía"/>
    <s v="Efectivo"/>
    <s v="Papa"/>
    <x v="1"/>
    <n v="10324.280000000001"/>
    <n v="27"/>
    <x v="81"/>
  </r>
  <r>
    <s v="FO-0083"/>
    <x v="61"/>
    <s v="CL-0083"/>
    <x v="6"/>
    <s v="Santa Marta"/>
    <x v="3"/>
    <s v="V-137"/>
    <x v="0"/>
    <d v="2023-06-25T00:00:00"/>
    <s v="Servientrega"/>
    <s v="Cheque"/>
    <s v="Arepas"/>
    <x v="9"/>
    <n v="3285.64"/>
    <n v="38"/>
    <x v="82"/>
  </r>
  <r>
    <s v="FO-0084"/>
    <x v="80"/>
    <s v="CL-0084"/>
    <x v="6"/>
    <s v="Manizales"/>
    <x v="1"/>
    <s v="V-257"/>
    <x v="1"/>
    <d v="2022-07-03T00:00:00"/>
    <s v="Envía"/>
    <s v="Nequi"/>
    <s v="Tomate"/>
    <x v="1"/>
    <n v="16967.97"/>
    <n v="7"/>
    <x v="83"/>
  </r>
  <r>
    <s v="FO-0085"/>
    <x v="81"/>
    <s v="CL-0085"/>
    <x v="7"/>
    <s v="Pereira"/>
    <x v="1"/>
    <s v="V-558"/>
    <x v="3"/>
    <d v="2023-12-31T00:00:00"/>
    <s v="Coordinadora"/>
    <s v="Efectivo"/>
    <s v="Pasta"/>
    <x v="5"/>
    <n v="10436.530000000001"/>
    <n v="45"/>
    <x v="84"/>
  </r>
  <r>
    <s v="FO-0086"/>
    <x v="82"/>
    <s v="CL-0086"/>
    <x v="8"/>
    <s v="Barranquilla"/>
    <x v="2"/>
    <s v="V-705"/>
    <x v="0"/>
    <d v="2022-12-16T00:00:00"/>
    <s v="Deprisa"/>
    <s v="Crédito"/>
    <s v="Papa"/>
    <x v="1"/>
    <n v="5586.87"/>
    <n v="5"/>
    <x v="85"/>
  </r>
  <r>
    <s v="FO-0087"/>
    <x v="83"/>
    <s v="CL-0087"/>
    <x v="9"/>
    <s v="Bucaramanga"/>
    <x v="7"/>
    <s v="V-689"/>
    <x v="3"/>
    <d v="2024-03-03T00:00:00"/>
    <s v="Servientrega"/>
    <s v="Cheque"/>
    <s v="Pollo"/>
    <x v="6"/>
    <n v="15815.38"/>
    <n v="46"/>
    <x v="86"/>
  </r>
  <r>
    <s v="FO-0088"/>
    <x v="84"/>
    <s v="CL-0088"/>
    <x v="1"/>
    <s v="Manizales"/>
    <x v="7"/>
    <s v="V-893"/>
    <x v="3"/>
    <d v="2022-11-16T00:00:00"/>
    <s v="Coordinadora"/>
    <s v="Efectivo"/>
    <s v="Arroz"/>
    <x v="5"/>
    <n v="16624.5"/>
    <n v="5"/>
    <x v="87"/>
  </r>
  <r>
    <s v="FO-0089"/>
    <x v="85"/>
    <s v="CL-0089"/>
    <x v="2"/>
    <s v="Pereira"/>
    <x v="9"/>
    <s v="V-476"/>
    <x v="3"/>
    <d v="2025-12-13T00:00:00"/>
    <s v="TCC"/>
    <s v="Cheque"/>
    <s v="Pan"/>
    <x v="9"/>
    <n v="11664.65"/>
    <n v="21"/>
    <x v="88"/>
  </r>
  <r>
    <s v="FO-0090"/>
    <x v="86"/>
    <s v="CL-0090"/>
    <x v="1"/>
    <s v="Barranquilla"/>
    <x v="0"/>
    <s v="V-569"/>
    <x v="2"/>
    <d v="2024-06-05T00:00:00"/>
    <s v="Envía"/>
    <s v="Nequi"/>
    <s v="Café"/>
    <x v="4"/>
    <n v="17893.64"/>
    <n v="13"/>
    <x v="89"/>
  </r>
  <r>
    <s v="FO-0091"/>
    <x v="87"/>
    <s v="CL-0091"/>
    <x v="7"/>
    <s v="Manizales"/>
    <x v="3"/>
    <s v="V-105"/>
    <x v="0"/>
    <d v="2024-03-30T00:00:00"/>
    <s v="Deprisa"/>
    <s v="Cheque"/>
    <s v="Azúcar"/>
    <x v="2"/>
    <n v="6372.13"/>
    <n v="6"/>
    <x v="90"/>
  </r>
  <r>
    <s v="FO-0092"/>
    <x v="88"/>
    <s v="CL-0092"/>
    <x v="6"/>
    <s v="Barranquilla"/>
    <x v="5"/>
    <s v="V-765"/>
    <x v="3"/>
    <d v="2024-07-26T00:00:00"/>
    <s v="TCC"/>
    <s v="Cheque"/>
    <s v="Café"/>
    <x v="4"/>
    <n v="17597.72"/>
    <n v="26"/>
    <x v="91"/>
  </r>
  <r>
    <s v="FO-0093"/>
    <x v="89"/>
    <s v="CL-0093"/>
    <x v="8"/>
    <s v="Cartagena"/>
    <x v="3"/>
    <s v="V-307"/>
    <x v="1"/>
    <d v="2023-03-12T00:00:00"/>
    <s v="Envía"/>
    <s v="Efectivo"/>
    <s v="Frijoles"/>
    <x v="5"/>
    <n v="10091.33"/>
    <n v="39"/>
    <x v="92"/>
  </r>
  <r>
    <s v="FO-0094"/>
    <x v="90"/>
    <s v="CL-0094"/>
    <x v="5"/>
    <s v="Cali"/>
    <x v="9"/>
    <s v="V-938"/>
    <x v="3"/>
    <d v="2024-03-01T00:00:00"/>
    <s v="Servientrega"/>
    <s v="Crédito"/>
    <s v="Arroz"/>
    <x v="5"/>
    <n v="14476.39"/>
    <n v="10"/>
    <x v="93"/>
  </r>
  <r>
    <s v="FO-0095"/>
    <x v="91"/>
    <s v="CL-0095"/>
    <x v="4"/>
    <s v="Cali"/>
    <x v="0"/>
    <s v="V-467"/>
    <x v="3"/>
    <d v="2025-04-09T00:00:00"/>
    <s v="TCC"/>
    <s v="Crédito"/>
    <s v="Frijoles"/>
    <x v="5"/>
    <n v="10422.370000000001"/>
    <n v="40"/>
    <x v="94"/>
  </r>
  <r>
    <s v="FO-0096"/>
    <x v="92"/>
    <s v="CL-0096"/>
    <x v="9"/>
    <s v="Cúcuta"/>
    <x v="1"/>
    <s v="V-860"/>
    <x v="0"/>
    <d v="2024-05-08T00:00:00"/>
    <s v="TCC"/>
    <s v="Efectivo"/>
    <s v="Arepas"/>
    <x v="9"/>
    <n v="7219.42"/>
    <n v="8"/>
    <x v="95"/>
  </r>
  <r>
    <s v="FO-0097"/>
    <x v="93"/>
    <s v="CL-0097"/>
    <x v="7"/>
    <s v="Bucaramanga"/>
    <x v="2"/>
    <s v="V-741"/>
    <x v="2"/>
    <d v="2023-11-21T00:00:00"/>
    <s v="Servientrega"/>
    <s v="Nequi"/>
    <s v="Frijoles"/>
    <x v="5"/>
    <n v="16735.27"/>
    <n v="34"/>
    <x v="96"/>
  </r>
  <r>
    <s v="FO-0098"/>
    <x v="94"/>
    <s v="CL-0098"/>
    <x v="4"/>
    <s v="Pereira"/>
    <x v="9"/>
    <s v="V-772"/>
    <x v="3"/>
    <d v="2022-08-13T00:00:00"/>
    <s v="TCC"/>
    <s v="Cheque"/>
    <s v="Arroz"/>
    <x v="5"/>
    <n v="6943.03"/>
    <n v="43"/>
    <x v="97"/>
  </r>
  <r>
    <s v="FO-0099"/>
    <x v="95"/>
    <s v="CL-0099"/>
    <x v="3"/>
    <s v="Pereira"/>
    <x v="9"/>
    <s v="V-677"/>
    <x v="0"/>
    <d v="2023-09-06T00:00:00"/>
    <s v="Deprisa"/>
    <s v="Cheque"/>
    <s v="Papa"/>
    <x v="1"/>
    <n v="19135.68"/>
    <n v="36"/>
    <x v="98"/>
  </r>
  <r>
    <s v="FO-0100"/>
    <x v="96"/>
    <s v="CL-0100"/>
    <x v="4"/>
    <s v="Cúcuta"/>
    <x v="4"/>
    <s v="V-290"/>
    <x v="0"/>
    <d v="2022-01-08T00:00:00"/>
    <s v="Coordinadora"/>
    <s v="Crédito"/>
    <s v="Aceite"/>
    <x v="0"/>
    <n v="8080"/>
    <n v="28"/>
    <x v="99"/>
  </r>
  <r>
    <s v="FO-0101"/>
    <x v="97"/>
    <s v="CL-0101"/>
    <x v="6"/>
    <s v="Medellín"/>
    <x v="1"/>
    <s v="V-662"/>
    <x v="3"/>
    <d v="2024-09-05T00:00:00"/>
    <s v="TCC"/>
    <s v="Efectivo"/>
    <s v="Aceite"/>
    <x v="0"/>
    <n v="12906.77"/>
    <n v="16"/>
    <x v="100"/>
  </r>
  <r>
    <s v="FO-0102"/>
    <x v="98"/>
    <s v="CL-0102"/>
    <x v="9"/>
    <s v="Cali"/>
    <x v="4"/>
    <s v="V-174"/>
    <x v="1"/>
    <d v="2024-07-08T00:00:00"/>
    <s v="Envía"/>
    <s v="Nequi"/>
    <s v="Sal"/>
    <x v="7"/>
    <n v="14159.17"/>
    <n v="4"/>
    <x v="101"/>
  </r>
  <r>
    <s v="FO-0103"/>
    <x v="99"/>
    <s v="CL-0103"/>
    <x v="0"/>
    <s v="Manizales"/>
    <x v="8"/>
    <s v="V-939"/>
    <x v="0"/>
    <d v="2023-09-30T00:00:00"/>
    <s v="Coordinadora"/>
    <s v="Crédito"/>
    <s v="Arroz"/>
    <x v="5"/>
    <n v="8682.4699999999993"/>
    <n v="20"/>
    <x v="102"/>
  </r>
  <r>
    <s v="FO-0104"/>
    <x v="100"/>
    <s v="CL-0104"/>
    <x v="1"/>
    <s v="Bogotá"/>
    <x v="7"/>
    <s v="V-802"/>
    <x v="3"/>
    <d v="2022-09-27T00:00:00"/>
    <s v="Servientrega"/>
    <s v="Efectivo"/>
    <s v="Papa"/>
    <x v="1"/>
    <n v="3130.18"/>
    <n v="22"/>
    <x v="103"/>
  </r>
  <r>
    <s v="FO-0105"/>
    <x v="101"/>
    <s v="CL-0105"/>
    <x v="5"/>
    <s v="Pereira"/>
    <x v="2"/>
    <s v="V-203"/>
    <x v="0"/>
    <d v="2023-11-07T00:00:00"/>
    <s v="Coordinadora"/>
    <s v="Nequi"/>
    <s v="Pasta"/>
    <x v="5"/>
    <n v="8720.82"/>
    <n v="32"/>
    <x v="104"/>
  </r>
  <r>
    <s v="FO-0106"/>
    <x v="102"/>
    <s v="CL-0106"/>
    <x v="0"/>
    <s v="Cartagena"/>
    <x v="6"/>
    <s v="V-401"/>
    <x v="3"/>
    <d v="2025-07-17T00:00:00"/>
    <s v="Envía"/>
    <s v="Cheque"/>
    <s v="Pan"/>
    <x v="9"/>
    <n v="17375.43"/>
    <n v="7"/>
    <x v="105"/>
  </r>
  <r>
    <s v="FO-0107"/>
    <x v="103"/>
    <s v="CL-0107"/>
    <x v="2"/>
    <s v="Cartagena"/>
    <x v="8"/>
    <s v="V-280"/>
    <x v="2"/>
    <d v="2024-03-01T00:00:00"/>
    <s v="Envía"/>
    <s v="Cheque"/>
    <s v="Aceite"/>
    <x v="0"/>
    <n v="18808.580000000002"/>
    <n v="23"/>
    <x v="106"/>
  </r>
  <r>
    <s v="FO-0108"/>
    <x v="104"/>
    <s v="CL-0108"/>
    <x v="9"/>
    <s v="Medellín"/>
    <x v="6"/>
    <s v="V-352"/>
    <x v="2"/>
    <d v="2023-05-13T00:00:00"/>
    <s v="Servientrega"/>
    <s v="Cheque"/>
    <s v="Arroz"/>
    <x v="5"/>
    <n v="15887.08"/>
    <n v="17"/>
    <x v="107"/>
  </r>
  <r>
    <s v="FO-0109"/>
    <x v="105"/>
    <s v="CL-0109"/>
    <x v="3"/>
    <s v="Pereira"/>
    <x v="2"/>
    <s v="V-434"/>
    <x v="3"/>
    <d v="2025-04-04T00:00:00"/>
    <s v="Envía"/>
    <s v="Cheque"/>
    <s v="Papa"/>
    <x v="1"/>
    <n v="4360.93"/>
    <n v="35"/>
    <x v="108"/>
  </r>
  <r>
    <s v="FO-0110"/>
    <x v="106"/>
    <s v="CL-0110"/>
    <x v="0"/>
    <s v="Barranquilla"/>
    <x v="0"/>
    <s v="V-315"/>
    <x v="3"/>
    <d v="2025-10-12T00:00:00"/>
    <s v="Deprisa"/>
    <s v="Crédito"/>
    <s v="Tomate"/>
    <x v="1"/>
    <n v="4137.63"/>
    <n v="11"/>
    <x v="109"/>
  </r>
  <r>
    <s v="FO-0111"/>
    <x v="107"/>
    <s v="CL-0111"/>
    <x v="0"/>
    <s v="Cúcuta"/>
    <x v="3"/>
    <s v="V-159"/>
    <x v="0"/>
    <d v="2024-02-26T00:00:00"/>
    <s v="Servientrega"/>
    <s v="Efectivo"/>
    <s v="Pasta"/>
    <x v="5"/>
    <n v="16407.38"/>
    <n v="1"/>
    <x v="110"/>
  </r>
  <r>
    <s v="FO-0112"/>
    <x v="108"/>
    <s v="CL-0112"/>
    <x v="1"/>
    <s v="Bogotá"/>
    <x v="0"/>
    <s v="V-809"/>
    <x v="2"/>
    <d v="2023-07-25T00:00:00"/>
    <s v="Envía"/>
    <s v="Nequi"/>
    <s v="Café"/>
    <x v="4"/>
    <n v="5151.41"/>
    <n v="41"/>
    <x v="111"/>
  </r>
  <r>
    <s v="FO-0113"/>
    <x v="109"/>
    <s v="CL-0113"/>
    <x v="1"/>
    <s v="Pereira"/>
    <x v="5"/>
    <s v="V-471"/>
    <x v="3"/>
    <d v="2023-06-28T00:00:00"/>
    <s v="Servientrega"/>
    <s v="Efectivo"/>
    <s v="Carne de res"/>
    <x v="6"/>
    <n v="12275.43"/>
    <n v="20"/>
    <x v="112"/>
  </r>
  <r>
    <s v="FO-0114"/>
    <x v="110"/>
    <s v="CL-0114"/>
    <x v="2"/>
    <s v="Santa Marta"/>
    <x v="3"/>
    <s v="V-588"/>
    <x v="2"/>
    <d v="2024-12-09T00:00:00"/>
    <s v="Coordinadora"/>
    <s v="Crédito"/>
    <s v="Tomate"/>
    <x v="1"/>
    <n v="5684.64"/>
    <n v="31"/>
    <x v="113"/>
  </r>
  <r>
    <s v="FO-0115"/>
    <x v="111"/>
    <s v="CL-0115"/>
    <x v="9"/>
    <s v="Barranquilla"/>
    <x v="9"/>
    <s v="V-678"/>
    <x v="1"/>
    <d v="2025-12-16T00:00:00"/>
    <s v="TCC"/>
    <s v="Efectivo"/>
    <s v="Sal"/>
    <x v="7"/>
    <n v="3858.03"/>
    <n v="20"/>
    <x v="114"/>
  </r>
  <r>
    <s v="FO-0116"/>
    <x v="112"/>
    <s v="CL-0116"/>
    <x v="8"/>
    <s v="Pereira"/>
    <x v="0"/>
    <s v="V-335"/>
    <x v="3"/>
    <d v="2022-05-28T00:00:00"/>
    <s v="Coordinadora"/>
    <s v="Crédito"/>
    <s v="Sal"/>
    <x v="7"/>
    <n v="16013.88"/>
    <n v="29"/>
    <x v="115"/>
  </r>
  <r>
    <s v="FO-0117"/>
    <x v="113"/>
    <s v="CL-0117"/>
    <x v="4"/>
    <s v="Bucaramanga"/>
    <x v="0"/>
    <s v="V-185"/>
    <x v="2"/>
    <d v="2025-01-26T00:00:00"/>
    <s v="Envía"/>
    <s v="Efectivo"/>
    <s v="Arepas"/>
    <x v="9"/>
    <n v="8303.4500000000007"/>
    <n v="33"/>
    <x v="116"/>
  </r>
  <r>
    <s v="FO-0118"/>
    <x v="66"/>
    <s v="CL-0118"/>
    <x v="6"/>
    <s v="Cúcuta"/>
    <x v="6"/>
    <s v="V-620"/>
    <x v="2"/>
    <d v="2023-02-14T00:00:00"/>
    <s v="Servientrega"/>
    <s v="Efectivo"/>
    <s v="Carne de res"/>
    <x v="6"/>
    <n v="11974.48"/>
    <n v="30"/>
    <x v="117"/>
  </r>
  <r>
    <s v="FO-0119"/>
    <x v="114"/>
    <s v="CL-0119"/>
    <x v="1"/>
    <s v="Barranquilla"/>
    <x v="1"/>
    <s v="V-587"/>
    <x v="3"/>
    <d v="2023-09-27T00:00:00"/>
    <s v="Servientrega"/>
    <s v="Nequi"/>
    <s v="Papa"/>
    <x v="1"/>
    <n v="8685.1200000000008"/>
    <n v="42"/>
    <x v="118"/>
  </r>
  <r>
    <s v="FO-0120"/>
    <x v="115"/>
    <s v="CL-0120"/>
    <x v="6"/>
    <s v="Cúcuta"/>
    <x v="4"/>
    <s v="V-472"/>
    <x v="1"/>
    <d v="2023-03-22T00:00:00"/>
    <s v="Deprisa"/>
    <s v="Crédito"/>
    <s v="Pasta"/>
    <x v="5"/>
    <n v="16894.07"/>
    <n v="39"/>
    <x v="119"/>
  </r>
  <r>
    <s v="FO-0121"/>
    <x v="116"/>
    <s v="CL-0121"/>
    <x v="6"/>
    <s v="Medellín"/>
    <x v="8"/>
    <s v="V-339"/>
    <x v="3"/>
    <d v="2025-01-26T00:00:00"/>
    <s v="Deprisa"/>
    <s v="Crédito"/>
    <s v="Huevos"/>
    <x v="8"/>
    <n v="5422.77"/>
    <n v="24"/>
    <x v="120"/>
  </r>
  <r>
    <s v="FO-0122"/>
    <x v="117"/>
    <s v="CL-0122"/>
    <x v="5"/>
    <s v="Cúcuta"/>
    <x v="1"/>
    <s v="V-739"/>
    <x v="0"/>
    <d v="2025-07-07T00:00:00"/>
    <s v="Envía"/>
    <s v="Efectivo"/>
    <s v="Leche"/>
    <x v="3"/>
    <n v="5609.21"/>
    <n v="6"/>
    <x v="121"/>
  </r>
  <r>
    <s v="FO-0123"/>
    <x v="118"/>
    <s v="CL-0123"/>
    <x v="8"/>
    <s v="Bucaramanga"/>
    <x v="4"/>
    <s v="V-722"/>
    <x v="1"/>
    <d v="2023-06-28T00:00:00"/>
    <s v="Coordinadora"/>
    <s v="Cheque"/>
    <s v="Papa"/>
    <x v="1"/>
    <n v="5233.1099999999997"/>
    <n v="9"/>
    <x v="122"/>
  </r>
  <r>
    <s v="FO-0124"/>
    <x v="119"/>
    <s v="CL-0124"/>
    <x v="4"/>
    <s v="Barranquilla"/>
    <x v="6"/>
    <s v="V-637"/>
    <x v="2"/>
    <d v="2025-10-05T00:00:00"/>
    <s v="Deprisa"/>
    <s v="Efectivo"/>
    <s v="Pan"/>
    <x v="9"/>
    <n v="3398.27"/>
    <n v="37"/>
    <x v="123"/>
  </r>
  <r>
    <s v="FO-0125"/>
    <x v="120"/>
    <s v="CL-0125"/>
    <x v="8"/>
    <s v="Cali"/>
    <x v="2"/>
    <s v="V-860"/>
    <x v="3"/>
    <d v="2022-06-04T00:00:00"/>
    <s v="Coordinadora"/>
    <s v="Cheque"/>
    <s v="Arroz"/>
    <x v="5"/>
    <n v="16385.87"/>
    <n v="2"/>
    <x v="124"/>
  </r>
  <r>
    <s v="FO-0126"/>
    <x v="121"/>
    <s v="CL-0126"/>
    <x v="3"/>
    <s v="Medellín"/>
    <x v="2"/>
    <s v="V-297"/>
    <x v="3"/>
    <d v="2025-10-14T00:00:00"/>
    <s v="Servientrega"/>
    <s v="Nequi"/>
    <s v="Leche"/>
    <x v="3"/>
    <n v="12098.85"/>
    <n v="20"/>
    <x v="125"/>
  </r>
  <r>
    <s v="FO-0127"/>
    <x v="122"/>
    <s v="CL-0127"/>
    <x v="5"/>
    <s v="Santa Marta"/>
    <x v="2"/>
    <s v="V-449"/>
    <x v="1"/>
    <d v="2024-02-12T00:00:00"/>
    <s v="Coordinadora"/>
    <s v="Crédito"/>
    <s v="Sal"/>
    <x v="7"/>
    <n v="10294.43"/>
    <n v="48"/>
    <x v="126"/>
  </r>
  <r>
    <s v="FO-0128"/>
    <x v="123"/>
    <s v="CL-0128"/>
    <x v="2"/>
    <s v="Santa Marta"/>
    <x v="6"/>
    <s v="V-878"/>
    <x v="0"/>
    <d v="2022-09-28T00:00:00"/>
    <s v="Servientrega"/>
    <s v="Crédito"/>
    <s v="Sal"/>
    <x v="7"/>
    <n v="3237.42"/>
    <n v="4"/>
    <x v="127"/>
  </r>
  <r>
    <s v="FO-0129"/>
    <x v="124"/>
    <s v="CL-0129"/>
    <x v="3"/>
    <s v="Cúcuta"/>
    <x v="9"/>
    <s v="V-983"/>
    <x v="3"/>
    <d v="2023-11-20T00:00:00"/>
    <s v="TCC"/>
    <s v="Nequi"/>
    <s v="Tomate"/>
    <x v="1"/>
    <n v="12804.01"/>
    <n v="32"/>
    <x v="128"/>
  </r>
  <r>
    <s v="FO-0130"/>
    <x v="125"/>
    <s v="CL-0130"/>
    <x v="2"/>
    <s v="Pereira"/>
    <x v="9"/>
    <s v="V-173"/>
    <x v="3"/>
    <d v="2024-12-12T00:00:00"/>
    <s v="Coordinadora"/>
    <s v="Efectivo"/>
    <s v="Arroz"/>
    <x v="5"/>
    <n v="2789.23"/>
    <n v="34"/>
    <x v="129"/>
  </r>
  <r>
    <s v="FO-0131"/>
    <x v="126"/>
    <s v="CL-0131"/>
    <x v="5"/>
    <s v="Bucaramanga"/>
    <x v="9"/>
    <s v="V-538"/>
    <x v="2"/>
    <d v="2024-03-13T00:00:00"/>
    <s v="TCC"/>
    <s v="Cheque"/>
    <s v="Frijoles"/>
    <x v="5"/>
    <n v="2391.87"/>
    <n v="15"/>
    <x v="130"/>
  </r>
  <r>
    <s v="FO-0132"/>
    <x v="127"/>
    <s v="CL-0132"/>
    <x v="0"/>
    <s v="Manizales"/>
    <x v="0"/>
    <s v="V-679"/>
    <x v="2"/>
    <d v="2024-06-21T00:00:00"/>
    <s v="Servientrega"/>
    <s v="Cheque"/>
    <s v="Pasta"/>
    <x v="5"/>
    <n v="13818.19"/>
    <n v="14"/>
    <x v="131"/>
  </r>
  <r>
    <s v="FO-0133"/>
    <x v="128"/>
    <s v="CL-0133"/>
    <x v="2"/>
    <s v="Cartagena"/>
    <x v="4"/>
    <s v="V-440"/>
    <x v="2"/>
    <d v="2024-02-21T00:00:00"/>
    <s v="Envía"/>
    <s v="Cheque"/>
    <s v="Frijoles"/>
    <x v="5"/>
    <n v="19835.64"/>
    <n v="34"/>
    <x v="132"/>
  </r>
  <r>
    <s v="FO-0134"/>
    <x v="129"/>
    <s v="CL-0134"/>
    <x v="5"/>
    <s v="Pereira"/>
    <x v="8"/>
    <s v="V-107"/>
    <x v="3"/>
    <d v="2023-10-15T00:00:00"/>
    <s v="Envía"/>
    <s v="Nequi"/>
    <s v="Azúcar"/>
    <x v="2"/>
    <n v="9723.11"/>
    <n v="8"/>
    <x v="133"/>
  </r>
  <r>
    <s v="FO-0135"/>
    <x v="130"/>
    <s v="CL-0135"/>
    <x v="6"/>
    <s v="Pereira"/>
    <x v="8"/>
    <s v="V-704"/>
    <x v="3"/>
    <d v="2022-02-05T00:00:00"/>
    <s v="Deprisa"/>
    <s v="Efectivo"/>
    <s v="Frijoles"/>
    <x v="5"/>
    <n v="17681.97"/>
    <n v="20"/>
    <x v="134"/>
  </r>
  <r>
    <s v="FO-0136"/>
    <x v="131"/>
    <s v="CL-0136"/>
    <x v="6"/>
    <s v="Pereira"/>
    <x v="0"/>
    <s v="V-203"/>
    <x v="1"/>
    <d v="2023-08-21T00:00:00"/>
    <s v="Coordinadora"/>
    <s v="Cheque"/>
    <s v="Café"/>
    <x v="4"/>
    <n v="19948.900000000001"/>
    <n v="22"/>
    <x v="135"/>
  </r>
  <r>
    <s v="FO-0137"/>
    <x v="132"/>
    <s v="CL-0137"/>
    <x v="1"/>
    <s v="Bogotá"/>
    <x v="4"/>
    <s v="V-607"/>
    <x v="3"/>
    <d v="2022-04-25T00:00:00"/>
    <s v="Coordinadora"/>
    <s v="Efectivo"/>
    <s v="Aceite"/>
    <x v="0"/>
    <n v="8267.77"/>
    <n v="7"/>
    <x v="136"/>
  </r>
  <r>
    <s v="FO-0138"/>
    <x v="133"/>
    <s v="CL-0138"/>
    <x v="8"/>
    <s v="Bucaramanga"/>
    <x v="0"/>
    <s v="V-857"/>
    <x v="2"/>
    <d v="2025-02-10T00:00:00"/>
    <s v="Servientrega"/>
    <s v="Cheque"/>
    <s v="Sal"/>
    <x v="7"/>
    <n v="10242.26"/>
    <n v="41"/>
    <x v="137"/>
  </r>
  <r>
    <s v="FO-0139"/>
    <x v="134"/>
    <s v="CL-0139"/>
    <x v="7"/>
    <s v="Medellín"/>
    <x v="2"/>
    <s v="V-626"/>
    <x v="0"/>
    <d v="2023-01-01T00:00:00"/>
    <s v="Servientrega"/>
    <s v="Crédito"/>
    <s v="Frijoles"/>
    <x v="5"/>
    <n v="9615.91"/>
    <n v="5"/>
    <x v="138"/>
  </r>
  <r>
    <s v="FO-0140"/>
    <x v="135"/>
    <s v="CL-0140"/>
    <x v="6"/>
    <s v="Cali"/>
    <x v="7"/>
    <s v="V-742"/>
    <x v="2"/>
    <d v="2023-08-11T00:00:00"/>
    <s v="Envía"/>
    <s v="Crédito"/>
    <s v="Huevos"/>
    <x v="8"/>
    <n v="15750.95"/>
    <n v="16"/>
    <x v="139"/>
  </r>
  <r>
    <s v="FO-0141"/>
    <x v="136"/>
    <s v="CL-0141"/>
    <x v="2"/>
    <s v="Pereira"/>
    <x v="9"/>
    <s v="V-978"/>
    <x v="1"/>
    <d v="2024-04-06T00:00:00"/>
    <s v="Servientrega"/>
    <s v="Cheque"/>
    <s v="Carne de res"/>
    <x v="6"/>
    <n v="9898.6299999999992"/>
    <n v="48"/>
    <x v="140"/>
  </r>
  <r>
    <s v="FO-0142"/>
    <x v="137"/>
    <s v="CL-0142"/>
    <x v="1"/>
    <s v="Santa Marta"/>
    <x v="0"/>
    <s v="V-399"/>
    <x v="2"/>
    <d v="2024-07-06T00:00:00"/>
    <s v="Deprisa"/>
    <s v="Cheque"/>
    <s v="Aceite"/>
    <x v="0"/>
    <n v="18615.759999999998"/>
    <n v="39"/>
    <x v="141"/>
  </r>
  <r>
    <s v="FO-0143"/>
    <x v="138"/>
    <s v="CL-0143"/>
    <x v="7"/>
    <s v="Barranquilla"/>
    <x v="2"/>
    <s v="V-285"/>
    <x v="1"/>
    <d v="2022-12-10T00:00:00"/>
    <s v="TCC"/>
    <s v="Cheque"/>
    <s v="Huevos"/>
    <x v="8"/>
    <n v="10968.19"/>
    <n v="12"/>
    <x v="142"/>
  </r>
  <r>
    <s v="FO-0144"/>
    <x v="139"/>
    <s v="CL-0144"/>
    <x v="5"/>
    <s v="Cali"/>
    <x v="1"/>
    <s v="V-701"/>
    <x v="3"/>
    <d v="2025-06-21T00:00:00"/>
    <s v="TCC"/>
    <s v="Cheque"/>
    <s v="Carne de res"/>
    <x v="6"/>
    <n v="14518.33"/>
    <n v="37"/>
    <x v="143"/>
  </r>
  <r>
    <s v="FO-0145"/>
    <x v="140"/>
    <s v="CL-0145"/>
    <x v="3"/>
    <s v="Manizales"/>
    <x v="0"/>
    <s v="V-419"/>
    <x v="3"/>
    <d v="2025-04-10T00:00:00"/>
    <s v="TCC"/>
    <s v="Crédito"/>
    <s v="Arroz"/>
    <x v="5"/>
    <n v="8047.35"/>
    <n v="4"/>
    <x v="144"/>
  </r>
  <r>
    <s v="FO-0146"/>
    <x v="141"/>
    <s v="CL-0146"/>
    <x v="4"/>
    <s v="Barranquilla"/>
    <x v="1"/>
    <s v="V-673"/>
    <x v="2"/>
    <d v="2025-06-10T00:00:00"/>
    <s v="Coordinadora"/>
    <s v="Nequi"/>
    <s v="Papa"/>
    <x v="1"/>
    <n v="14205.91"/>
    <n v="48"/>
    <x v="145"/>
  </r>
  <r>
    <s v="FO-0147"/>
    <x v="142"/>
    <s v="CL-0147"/>
    <x v="3"/>
    <s v="Pereira"/>
    <x v="3"/>
    <s v="V-342"/>
    <x v="0"/>
    <d v="2025-10-18T00:00:00"/>
    <s v="TCC"/>
    <s v="Nequi"/>
    <s v="Papa"/>
    <x v="1"/>
    <n v="15251.38"/>
    <n v="26"/>
    <x v="146"/>
  </r>
  <r>
    <s v="FO-0148"/>
    <x v="143"/>
    <s v="CL-0148"/>
    <x v="1"/>
    <s v="Medellín"/>
    <x v="2"/>
    <s v="V-623"/>
    <x v="3"/>
    <d v="2022-10-01T00:00:00"/>
    <s v="Servientrega"/>
    <s v="Nequi"/>
    <s v="Arroz"/>
    <x v="5"/>
    <n v="17968.580000000002"/>
    <n v="4"/>
    <x v="147"/>
  </r>
  <r>
    <s v="FO-0149"/>
    <x v="144"/>
    <s v="CL-0149"/>
    <x v="8"/>
    <s v="Cúcuta"/>
    <x v="0"/>
    <s v="V-434"/>
    <x v="0"/>
    <d v="2022-01-26T00:00:00"/>
    <s v="Coordinadora"/>
    <s v="Cheque"/>
    <s v="Papa"/>
    <x v="1"/>
    <n v="8701.34"/>
    <n v="34"/>
    <x v="148"/>
  </r>
  <r>
    <s v="FO-0150"/>
    <x v="145"/>
    <s v="CL-0150"/>
    <x v="8"/>
    <s v="Medellín"/>
    <x v="7"/>
    <s v="V-520"/>
    <x v="3"/>
    <d v="2022-09-06T00:00:00"/>
    <s v="Servientrega"/>
    <s v="Crédito"/>
    <s v="Sal"/>
    <x v="7"/>
    <n v="14948.86"/>
    <n v="36"/>
    <x v="149"/>
  </r>
  <r>
    <s v="FO-0151"/>
    <x v="63"/>
    <s v="CL-0151"/>
    <x v="5"/>
    <s v="Bogotá"/>
    <x v="1"/>
    <s v="V-261"/>
    <x v="1"/>
    <d v="2023-01-11T00:00:00"/>
    <s v="Coordinadora"/>
    <s v="Nequi"/>
    <s v="Huevos"/>
    <x v="8"/>
    <n v="12108.67"/>
    <n v="11"/>
    <x v="150"/>
  </r>
  <r>
    <s v="FO-0152"/>
    <x v="146"/>
    <s v="CL-0152"/>
    <x v="8"/>
    <s v="Cali"/>
    <x v="7"/>
    <s v="V-457"/>
    <x v="2"/>
    <d v="2022-06-09T00:00:00"/>
    <s v="Coordinadora"/>
    <s v="Cheque"/>
    <s v="Tomate"/>
    <x v="1"/>
    <n v="8867.57"/>
    <n v="35"/>
    <x v="151"/>
  </r>
  <r>
    <s v="FO-0153"/>
    <x v="147"/>
    <s v="CL-0153"/>
    <x v="1"/>
    <s v="Cali"/>
    <x v="1"/>
    <s v="V-170"/>
    <x v="2"/>
    <d v="2023-09-15T00:00:00"/>
    <s v="Coordinadora"/>
    <s v="Efectivo"/>
    <s v="Aceite"/>
    <x v="0"/>
    <n v="3333.47"/>
    <n v="30"/>
    <x v="152"/>
  </r>
  <r>
    <s v="FO-0154"/>
    <x v="148"/>
    <s v="CL-0154"/>
    <x v="1"/>
    <s v="Bogotá"/>
    <x v="5"/>
    <s v="V-982"/>
    <x v="0"/>
    <d v="2024-05-28T00:00:00"/>
    <s v="Envía"/>
    <s v="Crédito"/>
    <s v="Pasta"/>
    <x v="5"/>
    <n v="14188.55"/>
    <n v="49"/>
    <x v="153"/>
  </r>
  <r>
    <s v="FO-0155"/>
    <x v="149"/>
    <s v="CL-0155"/>
    <x v="6"/>
    <s v="Cúcuta"/>
    <x v="7"/>
    <s v="V-284"/>
    <x v="1"/>
    <d v="2022-06-16T00:00:00"/>
    <s v="TCC"/>
    <s v="Nequi"/>
    <s v="Café"/>
    <x v="4"/>
    <n v="8913.9"/>
    <n v="16"/>
    <x v="154"/>
  </r>
  <r>
    <s v="FO-0156"/>
    <x v="150"/>
    <s v="CL-0156"/>
    <x v="3"/>
    <s v="Medellín"/>
    <x v="4"/>
    <s v="V-159"/>
    <x v="3"/>
    <d v="2024-11-05T00:00:00"/>
    <s v="Deprisa"/>
    <s v="Efectivo"/>
    <s v="Papa"/>
    <x v="1"/>
    <n v="15977.82"/>
    <n v="38"/>
    <x v="155"/>
  </r>
  <r>
    <s v="FO-0157"/>
    <x v="151"/>
    <s v="CL-0157"/>
    <x v="5"/>
    <s v="Manizales"/>
    <x v="9"/>
    <s v="V-838"/>
    <x v="0"/>
    <d v="2024-05-08T00:00:00"/>
    <s v="TCC"/>
    <s v="Crédito"/>
    <s v="Arepas"/>
    <x v="9"/>
    <n v="13982.97"/>
    <n v="41"/>
    <x v="156"/>
  </r>
  <r>
    <s v="FO-0158"/>
    <x v="152"/>
    <s v="CL-0158"/>
    <x v="7"/>
    <s v="Medellín"/>
    <x v="1"/>
    <s v="V-323"/>
    <x v="0"/>
    <d v="2024-03-21T00:00:00"/>
    <s v="TCC"/>
    <s v="Cheque"/>
    <s v="Sal"/>
    <x v="7"/>
    <n v="9026.42"/>
    <n v="37"/>
    <x v="157"/>
  </r>
  <r>
    <s v="FO-0159"/>
    <x v="153"/>
    <s v="CL-0159"/>
    <x v="7"/>
    <s v="Cartagena"/>
    <x v="9"/>
    <s v="V-651"/>
    <x v="2"/>
    <d v="2024-06-02T00:00:00"/>
    <s v="TCC"/>
    <s v="Efectivo"/>
    <s v="Huevos"/>
    <x v="8"/>
    <n v="15503.64"/>
    <n v="41"/>
    <x v="158"/>
  </r>
  <r>
    <s v="FO-0160"/>
    <x v="154"/>
    <s v="CL-0160"/>
    <x v="6"/>
    <s v="Barranquilla"/>
    <x v="3"/>
    <s v="V-616"/>
    <x v="1"/>
    <d v="2023-08-04T00:00:00"/>
    <s v="Coordinadora"/>
    <s v="Crédito"/>
    <s v="Pan"/>
    <x v="9"/>
    <n v="9239.35"/>
    <n v="19"/>
    <x v="159"/>
  </r>
  <r>
    <s v="FO-0161"/>
    <x v="155"/>
    <s v="CL-0161"/>
    <x v="6"/>
    <s v="Barranquilla"/>
    <x v="6"/>
    <s v="V-402"/>
    <x v="1"/>
    <d v="2023-12-16T00:00:00"/>
    <s v="Servientrega"/>
    <s v="Cheque"/>
    <s v="Arroz"/>
    <x v="5"/>
    <n v="16938.37"/>
    <n v="16"/>
    <x v="160"/>
  </r>
  <r>
    <s v="FO-0162"/>
    <x v="156"/>
    <s v="CL-0162"/>
    <x v="5"/>
    <s v="Cartagena"/>
    <x v="2"/>
    <s v="V-826"/>
    <x v="1"/>
    <d v="2023-01-25T00:00:00"/>
    <s v="Coordinadora"/>
    <s v="Efectivo"/>
    <s v="Carne de res"/>
    <x v="6"/>
    <n v="4775.2700000000004"/>
    <n v="42"/>
    <x v="161"/>
  </r>
  <r>
    <s v="FO-0163"/>
    <x v="157"/>
    <s v="CL-0163"/>
    <x v="3"/>
    <s v="Bucaramanga"/>
    <x v="2"/>
    <s v="V-150"/>
    <x v="2"/>
    <d v="2024-09-19T00:00:00"/>
    <s v="Coordinadora"/>
    <s v="Cheque"/>
    <s v="Papa"/>
    <x v="1"/>
    <n v="11842.77"/>
    <n v="50"/>
    <x v="162"/>
  </r>
  <r>
    <s v="FO-0164"/>
    <x v="158"/>
    <s v="CL-0164"/>
    <x v="6"/>
    <s v="Cali"/>
    <x v="6"/>
    <s v="V-603"/>
    <x v="0"/>
    <d v="2023-04-30T00:00:00"/>
    <s v="TCC"/>
    <s v="Nequi"/>
    <s v="Huevos"/>
    <x v="8"/>
    <n v="16295.75"/>
    <n v="5"/>
    <x v="163"/>
  </r>
  <r>
    <s v="FO-0165"/>
    <x v="159"/>
    <s v="CL-0165"/>
    <x v="0"/>
    <s v="Bogotá"/>
    <x v="7"/>
    <s v="V-665"/>
    <x v="1"/>
    <d v="2023-01-24T00:00:00"/>
    <s v="Envía"/>
    <s v="Efectivo"/>
    <s v="Huevos"/>
    <x v="8"/>
    <n v="5457.05"/>
    <n v="4"/>
    <x v="164"/>
  </r>
  <r>
    <s v="FO-0166"/>
    <x v="160"/>
    <s v="CL-0166"/>
    <x v="6"/>
    <s v="Cali"/>
    <x v="9"/>
    <s v="V-174"/>
    <x v="1"/>
    <d v="2025-09-30T00:00:00"/>
    <s v="Deprisa"/>
    <s v="Crédito"/>
    <s v="Arroz"/>
    <x v="5"/>
    <n v="2416.38"/>
    <n v="15"/>
    <x v="165"/>
  </r>
  <r>
    <s v="FO-0167"/>
    <x v="161"/>
    <s v="CL-0167"/>
    <x v="4"/>
    <s v="Manizales"/>
    <x v="0"/>
    <s v="V-681"/>
    <x v="0"/>
    <d v="2024-04-02T00:00:00"/>
    <s v="TCC"/>
    <s v="Nequi"/>
    <s v="Sal"/>
    <x v="7"/>
    <n v="9728.15"/>
    <n v="42"/>
    <x v="166"/>
  </r>
  <r>
    <s v="FO-0168"/>
    <x v="162"/>
    <s v="CL-0168"/>
    <x v="1"/>
    <s v="Cartagena"/>
    <x v="1"/>
    <s v="V-304"/>
    <x v="3"/>
    <d v="2023-12-10T00:00:00"/>
    <s v="Deprisa"/>
    <s v="Efectivo"/>
    <s v="Papa"/>
    <x v="1"/>
    <n v="3728.81"/>
    <n v="31"/>
    <x v="167"/>
  </r>
  <r>
    <s v="FO-0169"/>
    <x v="163"/>
    <s v="CL-0169"/>
    <x v="2"/>
    <s v="Pereira"/>
    <x v="8"/>
    <s v="V-641"/>
    <x v="0"/>
    <d v="2023-07-13T00:00:00"/>
    <s v="Envía"/>
    <s v="Nequi"/>
    <s v="Papa"/>
    <x v="1"/>
    <n v="19165.55"/>
    <n v="43"/>
    <x v="168"/>
  </r>
  <r>
    <s v="FO-0170"/>
    <x v="164"/>
    <s v="CL-0170"/>
    <x v="3"/>
    <s v="Bogotá"/>
    <x v="1"/>
    <s v="V-931"/>
    <x v="3"/>
    <d v="2024-04-17T00:00:00"/>
    <s v="Servientrega"/>
    <s v="Cheque"/>
    <s v="Pollo"/>
    <x v="6"/>
    <n v="2284.7199999999998"/>
    <n v="24"/>
    <x v="169"/>
  </r>
  <r>
    <s v="FO-0171"/>
    <x v="165"/>
    <s v="CL-0171"/>
    <x v="9"/>
    <s v="Medellín"/>
    <x v="6"/>
    <s v="V-313"/>
    <x v="2"/>
    <d v="2023-12-17T00:00:00"/>
    <s v="Servientrega"/>
    <s v="Cheque"/>
    <s v="Arroz"/>
    <x v="5"/>
    <n v="11474.03"/>
    <n v="43"/>
    <x v="170"/>
  </r>
  <r>
    <s v="FO-0172"/>
    <x v="166"/>
    <s v="CL-0172"/>
    <x v="0"/>
    <s v="Manizales"/>
    <x v="9"/>
    <s v="V-906"/>
    <x v="1"/>
    <d v="2023-11-22T00:00:00"/>
    <s v="Deprisa"/>
    <s v="Crédito"/>
    <s v="Pollo"/>
    <x v="6"/>
    <n v="2689.34"/>
    <n v="23"/>
    <x v="171"/>
  </r>
  <r>
    <s v="FO-0173"/>
    <x v="167"/>
    <s v="CL-0173"/>
    <x v="2"/>
    <s v="Barranquilla"/>
    <x v="1"/>
    <s v="V-952"/>
    <x v="3"/>
    <d v="2022-10-16T00:00:00"/>
    <s v="Envía"/>
    <s v="Nequi"/>
    <s v="Huevos"/>
    <x v="8"/>
    <n v="8666.98"/>
    <n v="12"/>
    <x v="172"/>
  </r>
  <r>
    <s v="FO-0174"/>
    <x v="168"/>
    <s v="CL-0174"/>
    <x v="5"/>
    <s v="Bogotá"/>
    <x v="7"/>
    <s v="V-651"/>
    <x v="2"/>
    <d v="2023-11-08T00:00:00"/>
    <s v="Envía"/>
    <s v="Cheque"/>
    <s v="Leche"/>
    <x v="3"/>
    <n v="2029.81"/>
    <n v="1"/>
    <x v="173"/>
  </r>
  <r>
    <s v="FO-0175"/>
    <x v="169"/>
    <s v="CL-0175"/>
    <x v="5"/>
    <s v="Santa Marta"/>
    <x v="9"/>
    <s v="V-749"/>
    <x v="1"/>
    <d v="2022-05-01T00:00:00"/>
    <s v="Coordinadora"/>
    <s v="Crédito"/>
    <s v="Frijoles"/>
    <x v="5"/>
    <n v="13405.68"/>
    <n v="17"/>
    <x v="174"/>
  </r>
  <r>
    <s v="FO-0176"/>
    <x v="170"/>
    <s v="CL-0176"/>
    <x v="1"/>
    <s v="Pereira"/>
    <x v="1"/>
    <s v="V-243"/>
    <x v="1"/>
    <d v="2023-04-25T00:00:00"/>
    <s v="Deprisa"/>
    <s v="Nequi"/>
    <s v="Aceite"/>
    <x v="0"/>
    <n v="7296.1"/>
    <n v="21"/>
    <x v="175"/>
  </r>
  <r>
    <s v="FO-0177"/>
    <x v="171"/>
    <s v="CL-0177"/>
    <x v="9"/>
    <s v="Cartagena"/>
    <x v="4"/>
    <s v="V-218"/>
    <x v="2"/>
    <d v="2023-07-28T00:00:00"/>
    <s v="TCC"/>
    <s v="Crédito"/>
    <s v="Leche"/>
    <x v="3"/>
    <n v="12471.18"/>
    <n v="17"/>
    <x v="176"/>
  </r>
  <r>
    <s v="FO-0178"/>
    <x v="172"/>
    <s v="CL-0178"/>
    <x v="1"/>
    <s v="Cartagena"/>
    <x v="4"/>
    <s v="V-130"/>
    <x v="1"/>
    <d v="2023-10-30T00:00:00"/>
    <s v="Deprisa"/>
    <s v="Efectivo"/>
    <s v="Arepas"/>
    <x v="9"/>
    <n v="13030.37"/>
    <n v="38"/>
    <x v="177"/>
  </r>
  <r>
    <s v="FO-0179"/>
    <x v="173"/>
    <s v="CL-0179"/>
    <x v="8"/>
    <s v="Cali"/>
    <x v="6"/>
    <s v="V-516"/>
    <x v="2"/>
    <d v="2024-02-12T00:00:00"/>
    <s v="Servientrega"/>
    <s v="Crédito"/>
    <s v="Pollo"/>
    <x v="6"/>
    <n v="15647.92"/>
    <n v="29"/>
    <x v="178"/>
  </r>
  <r>
    <s v="FO-0180"/>
    <x v="174"/>
    <s v="CL-0180"/>
    <x v="6"/>
    <s v="Medellín"/>
    <x v="2"/>
    <s v="V-952"/>
    <x v="0"/>
    <d v="2025-06-29T00:00:00"/>
    <s v="Servientrega"/>
    <s v="Cheque"/>
    <s v="Tomate"/>
    <x v="1"/>
    <n v="13489.51"/>
    <n v="23"/>
    <x v="179"/>
  </r>
  <r>
    <s v="FO-0181"/>
    <x v="175"/>
    <s v="CL-0181"/>
    <x v="4"/>
    <s v="Cali"/>
    <x v="7"/>
    <s v="V-713"/>
    <x v="1"/>
    <d v="2025-06-25T00:00:00"/>
    <s v="Deprisa"/>
    <s v="Efectivo"/>
    <s v="Tomate"/>
    <x v="1"/>
    <n v="8945.0499999999993"/>
    <n v="25"/>
    <x v="180"/>
  </r>
  <r>
    <s v="FO-0182"/>
    <x v="119"/>
    <s v="CL-0182"/>
    <x v="8"/>
    <s v="Bucaramanga"/>
    <x v="5"/>
    <s v="V-234"/>
    <x v="1"/>
    <d v="2025-10-05T00:00:00"/>
    <s v="TCC"/>
    <s v="Cheque"/>
    <s v="Sal"/>
    <x v="7"/>
    <n v="11925.36"/>
    <n v="20"/>
    <x v="181"/>
  </r>
  <r>
    <s v="FO-0183"/>
    <x v="176"/>
    <s v="CL-0183"/>
    <x v="1"/>
    <s v="Cúcuta"/>
    <x v="8"/>
    <s v="V-208"/>
    <x v="1"/>
    <d v="2024-05-09T00:00:00"/>
    <s v="Coordinadora"/>
    <s v="Efectivo"/>
    <s v="Pasta"/>
    <x v="5"/>
    <n v="12098.69"/>
    <n v="37"/>
    <x v="182"/>
  </r>
  <r>
    <s v="FO-0184"/>
    <x v="177"/>
    <s v="CL-0184"/>
    <x v="2"/>
    <s v="Manizales"/>
    <x v="7"/>
    <s v="V-928"/>
    <x v="0"/>
    <d v="2024-08-18T00:00:00"/>
    <s v="TCC"/>
    <s v="Cheque"/>
    <s v="Café"/>
    <x v="4"/>
    <n v="12986.83"/>
    <n v="24"/>
    <x v="183"/>
  </r>
  <r>
    <s v="FO-0185"/>
    <x v="178"/>
    <s v="CL-0185"/>
    <x v="4"/>
    <s v="Cúcuta"/>
    <x v="3"/>
    <s v="V-587"/>
    <x v="1"/>
    <d v="2022-02-25T00:00:00"/>
    <s v="TCC"/>
    <s v="Crédito"/>
    <s v="Arroz"/>
    <x v="5"/>
    <n v="4040.33"/>
    <n v="10"/>
    <x v="184"/>
  </r>
  <r>
    <s v="FO-0186"/>
    <x v="179"/>
    <s v="CL-0186"/>
    <x v="0"/>
    <s v="Pereira"/>
    <x v="5"/>
    <s v="V-416"/>
    <x v="0"/>
    <d v="2022-11-25T00:00:00"/>
    <s v="Coordinadora"/>
    <s v="Cheque"/>
    <s v="Café"/>
    <x v="4"/>
    <n v="14532.57"/>
    <n v="37"/>
    <x v="185"/>
  </r>
  <r>
    <s v="FO-0187"/>
    <x v="180"/>
    <s v="CL-0187"/>
    <x v="6"/>
    <s v="Bucaramanga"/>
    <x v="0"/>
    <s v="V-836"/>
    <x v="0"/>
    <d v="2023-04-09T00:00:00"/>
    <s v="Servientrega"/>
    <s v="Crédito"/>
    <s v="Carne de res"/>
    <x v="6"/>
    <n v="16274.45"/>
    <n v="31"/>
    <x v="186"/>
  </r>
  <r>
    <s v="FO-0188"/>
    <x v="71"/>
    <s v="CL-0188"/>
    <x v="7"/>
    <s v="Medellín"/>
    <x v="4"/>
    <s v="V-410"/>
    <x v="2"/>
    <d v="2025-08-07T00:00:00"/>
    <s v="Servientrega"/>
    <s v="Crédito"/>
    <s v="Carne de res"/>
    <x v="6"/>
    <n v="19385.150000000001"/>
    <n v="20"/>
    <x v="187"/>
  </r>
  <r>
    <s v="FO-0189"/>
    <x v="181"/>
    <s v="CL-0189"/>
    <x v="5"/>
    <s v="Medellín"/>
    <x v="5"/>
    <s v="V-414"/>
    <x v="2"/>
    <d v="2024-09-15T00:00:00"/>
    <s v="Envía"/>
    <s v="Efectivo"/>
    <s v="Pasta"/>
    <x v="5"/>
    <n v="16050.39"/>
    <n v="32"/>
    <x v="188"/>
  </r>
  <r>
    <s v="FO-0190"/>
    <x v="140"/>
    <s v="CL-0190"/>
    <x v="5"/>
    <s v="Cúcuta"/>
    <x v="5"/>
    <s v="V-823"/>
    <x v="3"/>
    <d v="2025-04-10T00:00:00"/>
    <s v="TCC"/>
    <s v="Efectivo"/>
    <s v="Arroz"/>
    <x v="5"/>
    <n v="8995.9500000000007"/>
    <n v="27"/>
    <x v="189"/>
  </r>
  <r>
    <s v="FO-0191"/>
    <x v="182"/>
    <s v="CL-0191"/>
    <x v="3"/>
    <s v="Cúcuta"/>
    <x v="5"/>
    <s v="V-214"/>
    <x v="3"/>
    <d v="2025-07-07T00:00:00"/>
    <s v="TCC"/>
    <s v="Crédito"/>
    <s v="Azúcar"/>
    <x v="2"/>
    <n v="5868.97"/>
    <n v="42"/>
    <x v="190"/>
  </r>
  <r>
    <s v="FO-0192"/>
    <x v="157"/>
    <s v="CL-0192"/>
    <x v="1"/>
    <s v="Medellín"/>
    <x v="5"/>
    <s v="V-135"/>
    <x v="0"/>
    <d v="2024-09-17T00:00:00"/>
    <s v="Envía"/>
    <s v="Efectivo"/>
    <s v="Leche"/>
    <x v="3"/>
    <n v="4429.0600000000004"/>
    <n v="32"/>
    <x v="191"/>
  </r>
  <r>
    <s v="FO-0193"/>
    <x v="183"/>
    <s v="CL-0193"/>
    <x v="0"/>
    <s v="Cúcuta"/>
    <x v="9"/>
    <s v="V-565"/>
    <x v="2"/>
    <d v="2025-01-20T00:00:00"/>
    <s v="Deprisa"/>
    <s v="Efectivo"/>
    <s v="Café"/>
    <x v="4"/>
    <n v="7448.95"/>
    <n v="20"/>
    <x v="192"/>
  </r>
  <r>
    <s v="FO-0194"/>
    <x v="184"/>
    <s v="CL-0194"/>
    <x v="8"/>
    <s v="Manizales"/>
    <x v="0"/>
    <s v="V-148"/>
    <x v="2"/>
    <d v="2024-10-10T00:00:00"/>
    <s v="Coordinadora"/>
    <s v="Cheque"/>
    <s v="Frijoles"/>
    <x v="5"/>
    <n v="5385.55"/>
    <n v="48"/>
    <x v="193"/>
  </r>
  <r>
    <s v="FO-0195"/>
    <x v="185"/>
    <s v="CL-0195"/>
    <x v="8"/>
    <s v="Santa Marta"/>
    <x v="6"/>
    <s v="V-886"/>
    <x v="2"/>
    <d v="2023-03-22T00:00:00"/>
    <s v="Coordinadora"/>
    <s v="Nequi"/>
    <s v="Aceite"/>
    <x v="0"/>
    <n v="3266.73"/>
    <n v="36"/>
    <x v="194"/>
  </r>
  <r>
    <s v="FO-0196"/>
    <x v="186"/>
    <s v="CL-0196"/>
    <x v="7"/>
    <s v="Barranquilla"/>
    <x v="5"/>
    <s v="V-716"/>
    <x v="1"/>
    <d v="2023-06-10T00:00:00"/>
    <s v="Coordinadora"/>
    <s v="Nequi"/>
    <s v="Leche"/>
    <x v="3"/>
    <n v="9303.94"/>
    <n v="14"/>
    <x v="195"/>
  </r>
  <r>
    <s v="FO-0197"/>
    <x v="187"/>
    <s v="CL-0197"/>
    <x v="5"/>
    <s v="Barranquilla"/>
    <x v="5"/>
    <s v="V-232"/>
    <x v="1"/>
    <d v="2024-12-18T00:00:00"/>
    <s v="Coordinadora"/>
    <s v="Nequi"/>
    <s v="Café"/>
    <x v="4"/>
    <n v="18733.5"/>
    <n v="19"/>
    <x v="196"/>
  </r>
  <r>
    <s v="FO-0198"/>
    <x v="188"/>
    <s v="CL-0198"/>
    <x v="0"/>
    <s v="Cali"/>
    <x v="8"/>
    <s v="V-418"/>
    <x v="3"/>
    <d v="2024-01-12T00:00:00"/>
    <s v="Envía"/>
    <s v="Crédito"/>
    <s v="Azúcar"/>
    <x v="2"/>
    <n v="6301.66"/>
    <n v="5"/>
    <x v="197"/>
  </r>
  <r>
    <s v="FO-0199"/>
    <x v="189"/>
    <s v="CL-0199"/>
    <x v="7"/>
    <s v="Cartagena"/>
    <x v="2"/>
    <s v="V-459"/>
    <x v="3"/>
    <d v="2024-08-08T00:00:00"/>
    <s v="Deprisa"/>
    <s v="Nequi"/>
    <s v="Pasta"/>
    <x v="5"/>
    <n v="13273.13"/>
    <n v="36"/>
    <x v="198"/>
  </r>
  <r>
    <s v="FO-0200"/>
    <x v="190"/>
    <s v="CL-0200"/>
    <x v="9"/>
    <s v="Barranquilla"/>
    <x v="3"/>
    <s v="V-899"/>
    <x v="3"/>
    <d v="2023-11-09T00:00:00"/>
    <s v="Coordinadora"/>
    <s v="Nequi"/>
    <s v="Azúcar"/>
    <x v="2"/>
    <n v="11349.21"/>
    <n v="50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710D0-9BDF-488C-BB06-F539C0C08F2F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K3:L14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axis="axisRow"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ngreso Total" fld="1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8AB5B-4A1B-4087-9870-971480E17491}" name="TablaDiná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23:B34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axis="axisRow"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ngreso Total" fld="15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90A52-B004-4F69-A5E8-2DD3ED3A6038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16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Ingreso Total" fld="15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0B40E-5A90-4A99-BE81-60FFC2628CFD}" name="TablaDiná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K41:L47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axis="axisRow" dataField="1" numFmtId="165" showAll="0">
      <items count="8">
        <item x="0"/>
        <item n="$0-$200k" x="1"/>
        <item n="$200k-$400k" x="2"/>
        <item n="$400k-$600k" x="3"/>
        <item n="$600k-$800k" x="4"/>
        <item n="$800k-$1M" x="5"/>
        <item x="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5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ngreso Total" fld="15" baseField="0" baseItem="0" numFmtId="165"/>
  </dataFields>
  <formats count="1">
    <format dxfId="0">
      <pivotArea dataOnly="0" labelOnly="1" fieldPosition="0">
        <references count="1">
          <reference field="15" count="5">
            <x v="1"/>
            <x v="2"/>
            <x v="3"/>
            <x v="4"/>
            <x v="5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102DC-7663-4173-B571-B6DEA3498BCE}" name="TablaDiná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K21:L32" firstHeaderRow="1" firstDataRow="1" firstDataCol="1"/>
  <pivotFields count="17">
    <pivotField showAll="0"/>
    <pivotField numFmtId="164" showAll="0">
      <items count="192">
        <item x="96"/>
        <item x="144"/>
        <item x="19"/>
        <item x="130"/>
        <item x="178"/>
        <item x="57"/>
        <item x="6"/>
        <item x="52"/>
        <item x="132"/>
        <item x="169"/>
        <item x="78"/>
        <item x="59"/>
        <item x="112"/>
        <item x="42"/>
        <item x="120"/>
        <item x="146"/>
        <item x="149"/>
        <item x="80"/>
        <item x="26"/>
        <item x="29"/>
        <item x="94"/>
        <item x="18"/>
        <item x="12"/>
        <item x="65"/>
        <item x="145"/>
        <item x="49"/>
        <item x="33"/>
        <item x="100"/>
        <item x="123"/>
        <item x="39"/>
        <item x="143"/>
        <item x="167"/>
        <item x="76"/>
        <item x="32"/>
        <item x="84"/>
        <item x="179"/>
        <item x="138"/>
        <item x="9"/>
        <item x="82"/>
        <item x="27"/>
        <item x="134"/>
        <item x="38"/>
        <item x="63"/>
        <item x="159"/>
        <item x="79"/>
        <item x="156"/>
        <item x="25"/>
        <item x="47"/>
        <item x="66"/>
        <item x="74"/>
        <item x="55"/>
        <item x="89"/>
        <item x="7"/>
        <item x="185"/>
        <item x="23"/>
        <item x="115"/>
        <item x="180"/>
        <item x="170"/>
        <item x="158"/>
        <item x="30"/>
        <item x="104"/>
        <item x="35"/>
        <item x="17"/>
        <item x="186"/>
        <item x="4"/>
        <item x="61"/>
        <item x="15"/>
        <item x="109"/>
        <item x="118"/>
        <item x="163"/>
        <item x="108"/>
        <item x="171"/>
        <item x="154"/>
        <item x="135"/>
        <item x="70"/>
        <item x="131"/>
        <item x="95"/>
        <item x="147"/>
        <item x="2"/>
        <item x="114"/>
        <item x="99"/>
        <item x="129"/>
        <item x="0"/>
        <item x="172"/>
        <item x="46"/>
        <item x="190"/>
        <item x="101"/>
        <item x="168"/>
        <item x="93"/>
        <item x="37"/>
        <item x="166"/>
        <item x="124"/>
        <item x="45"/>
        <item x="162"/>
        <item x="155"/>
        <item x="165"/>
        <item x="75"/>
        <item x="81"/>
        <item x="24"/>
        <item x="188"/>
        <item x="173"/>
        <item x="122"/>
        <item x="44"/>
        <item x="20"/>
        <item x="128"/>
        <item x="40"/>
        <item x="58"/>
        <item x="83"/>
        <item x="107"/>
        <item x="90"/>
        <item x="103"/>
        <item x="72"/>
        <item x="126"/>
        <item x="8"/>
        <item x="152"/>
        <item x="87"/>
        <item x="11"/>
        <item x="161"/>
        <item x="136"/>
        <item x="164"/>
        <item x="14"/>
        <item x="92"/>
        <item x="151"/>
        <item x="176"/>
        <item x="153"/>
        <item x="148"/>
        <item x="86"/>
        <item x="127"/>
        <item x="137"/>
        <item x="98"/>
        <item x="88"/>
        <item x="5"/>
        <item x="189"/>
        <item x="177"/>
        <item x="97"/>
        <item x="181"/>
        <item x="157"/>
        <item x="184"/>
        <item x="3"/>
        <item x="22"/>
        <item x="67"/>
        <item x="150"/>
        <item x="1"/>
        <item x="69"/>
        <item x="62"/>
        <item x="110"/>
        <item x="125"/>
        <item x="64"/>
        <item x="187"/>
        <item x="36"/>
        <item x="183"/>
        <item x="31"/>
        <item x="113"/>
        <item x="116"/>
        <item x="133"/>
        <item x="41"/>
        <item x="73"/>
        <item x="105"/>
        <item x="91"/>
        <item x="140"/>
        <item x="50"/>
        <item x="48"/>
        <item x="10"/>
        <item x="141"/>
        <item x="43"/>
        <item x="53"/>
        <item x="139"/>
        <item x="34"/>
        <item x="174"/>
        <item x="175"/>
        <item x="51"/>
        <item x="182"/>
        <item x="117"/>
        <item x="102"/>
        <item x="56"/>
        <item x="28"/>
        <item x="77"/>
        <item x="71"/>
        <item x="21"/>
        <item x="60"/>
        <item x="68"/>
        <item x="13"/>
        <item x="160"/>
        <item x="54"/>
        <item x="106"/>
        <item x="119"/>
        <item x="142"/>
        <item x="121"/>
        <item x="16"/>
        <item x="111"/>
        <item x="85"/>
        <item t="default"/>
      </items>
    </pivotField>
    <pivotField showAll="0"/>
    <pivotField showAll="0">
      <items count="11">
        <item x="5"/>
        <item x="3"/>
        <item x="4"/>
        <item x="7"/>
        <item x="9"/>
        <item x="0"/>
        <item x="6"/>
        <item x="1"/>
        <item x="8"/>
        <item x="2"/>
        <item t="default"/>
      </items>
    </pivotField>
    <pivotField showAll="0"/>
    <pivotField axis="axisRow" showAll="0">
      <items count="11">
        <item x="6"/>
        <item x="7"/>
        <item x="4"/>
        <item x="5"/>
        <item x="8"/>
        <item x="9"/>
        <item x="3"/>
        <item x="0"/>
        <item x="1"/>
        <item x="2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showAll="0"/>
    <pivotField showAll="0"/>
    <pivotField showAll="0"/>
    <pivotField showAll="0">
      <items count="11">
        <item x="0"/>
        <item x="4"/>
        <item x="6"/>
        <item x="7"/>
        <item x="2"/>
        <item x="5"/>
        <item x="3"/>
        <item x="9"/>
        <item x="8"/>
        <item x="1"/>
        <item t="default"/>
      </items>
    </pivotField>
    <pivotField numFmtId="165" showAll="0"/>
    <pivotField showAll="0"/>
    <pivotField dataField="1" numFmtId="165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Ingreso Total" fld="1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_Cliente" xr10:uid="{825A8109-94B7-4AC7-B0A7-4B1237A6A699}" sourceName="Nombre de Cliente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data>
    <tabular pivotCacheId="1650331765">
      <items count="10">
        <i x="5" s="1"/>
        <i x="3" s="1"/>
        <i x="4" s="1"/>
        <i x="7" s="1"/>
        <i x="9" s="1"/>
        <i x="0" s="1"/>
        <i x="6" s="1"/>
        <i x="1" s="1"/>
        <i x="8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04A859F3-8259-4BBC-89F8-7D3367B1FE68}" sourceName="Región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data>
    <tabular pivotCacheId="1650331765">
      <items count="4">
        <i x="1" s="1"/>
        <i x="2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E58BCEF9-551A-486A-AF79-144BF26BB35C}" sourceName="Categoría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data>
    <tabular pivotCacheId="1650331765">
      <items count="10">
        <i x="0" s="1"/>
        <i x="4" s="1"/>
        <i x="6" s="1"/>
        <i x="7" s="1"/>
        <i x="2" s="1"/>
        <i x="5" s="1"/>
        <i x="3" s="1"/>
        <i x="9" s="1"/>
        <i x="8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 Cliente" xr10:uid="{70E3B27F-7DDC-4B97-9577-37AA0AFCAC19}" cache="SegmentaciónDeDatos_Nombre_de_Cliente" caption="Nombre de Cliente" startItem="2" style="SlicerStyleDark1" rowHeight="234950"/>
  <slicer name="Región" xr10:uid="{10EAF906-423A-45B9-981D-22DA50BE324F}" cache="SegmentaciónDeDatos_Región" caption="Región" style="SlicerStyleDark1" rowHeight="234950"/>
  <slicer name="Categoría" xr10:uid="{35CDD759-0FFC-4FA7-8C0E-C7FA7120A048}" cache="SegmentaciónDeDatos_Categoría" caption="Categoría" startItem="2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Ventas" displayName="DatosVentas" ref="A1:P201">
  <autoFilter ref="A1:P201" xr:uid="{00000000-0009-0000-0100-000001000000}"/>
  <tableColumns count="16">
    <tableColumn id="1" xr3:uid="{00000000-0010-0000-0000-000001000000}" name="Folio"/>
    <tableColumn id="2" xr3:uid="{00000000-0010-0000-0000-000002000000}" name="Fecha de Orden"/>
    <tableColumn id="3" xr3:uid="{00000000-0010-0000-0000-000003000000}" name="Núm. Cliente"/>
    <tableColumn id="4" xr3:uid="{00000000-0010-0000-0000-000004000000}" name="Nombre de Cliente"/>
    <tableColumn id="5" xr3:uid="{00000000-0010-0000-0000-000005000000}" name="Ciudad"/>
    <tableColumn id="6" xr3:uid="{00000000-0010-0000-0000-000006000000}" name="Departamento"/>
    <tableColumn id="7" xr3:uid="{00000000-0010-0000-0000-000007000000}" name="Vendedor"/>
    <tableColumn id="8" xr3:uid="{00000000-0010-0000-0000-000008000000}" name="Región"/>
    <tableColumn id="9" xr3:uid="{00000000-0010-0000-0000-000009000000}" name="Fecha de Entrega"/>
    <tableColumn id="10" xr3:uid="{00000000-0010-0000-0000-00000A000000}" name="Transportadora"/>
    <tableColumn id="11" xr3:uid="{00000000-0010-0000-0000-00000B000000}" name="Forma de Pago"/>
    <tableColumn id="12" xr3:uid="{00000000-0010-0000-0000-00000C000000}" name="Nombre del Producto"/>
    <tableColumn id="13" xr3:uid="{00000000-0010-0000-0000-00000D000000}" name="Categoría"/>
    <tableColumn id="14" xr3:uid="{00000000-0010-0000-0000-00000E000000}" name="Precio Unitario"/>
    <tableColumn id="15" xr3:uid="{00000000-0010-0000-0000-00000F000000}" name="Cantidad"/>
    <tableColumn id="16" xr3:uid="{00000000-0010-0000-0000-000010000000}" name="Ingreso 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de_Orden" xr10:uid="{6F8D6EE4-874C-428E-B073-54550A780C04}" sourceName="Fecha de Orden">
  <pivotTables>
    <pivotTable tabId="4" name="TablaDinámica1"/>
    <pivotTable tabId="4" name="TablaDinámica2"/>
    <pivotTable tabId="4" name="TablaDinámica5"/>
    <pivotTable tabId="4" name="TablaDinámica3"/>
    <pivotTable tabId="4" name="TablaDinámica4"/>
  </pivotTables>
  <state minimalRefreshVersion="6" lastRefreshVersion="6" pivotCacheId="1650331765" filterType="unknown">
    <bounds startDate="2022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de Orden" xr10:uid="{DBEC5C3E-6DB6-4D83-B3C5-FF8EFBC4A008}" cache="NativeTimeline_Fecha_de_Orden" caption="Fecha de Orden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opLeftCell="A2" workbookViewId="0">
      <selection activeCell="O12" sqref="A2:P201"/>
    </sheetView>
  </sheetViews>
  <sheetFormatPr baseColWidth="10" defaultColWidth="8.77734375" defaultRowHeight="14.4" x14ac:dyDescent="0.3"/>
  <cols>
    <col min="1" max="1" width="9" customWidth="1"/>
    <col min="2" max="2" width="21" customWidth="1"/>
    <col min="3" max="3" width="14" customWidth="1"/>
    <col min="4" max="4" width="19" customWidth="1"/>
    <col min="5" max="5" width="14" customWidth="1"/>
    <col min="6" max="6" width="20" customWidth="1"/>
    <col min="7" max="7" width="10" customWidth="1"/>
    <col min="8" max="8" width="8" customWidth="1"/>
    <col min="9" max="9" width="21" customWidth="1"/>
    <col min="10" max="10" width="16" customWidth="1"/>
    <col min="11" max="11" width="15" customWidth="1"/>
    <col min="12" max="12" width="21" customWidth="1"/>
    <col min="13" max="13" width="13" customWidth="1"/>
    <col min="14" max="14" width="17" customWidth="1"/>
    <col min="15" max="15" width="10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45218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s="2">
        <v>45225</v>
      </c>
      <c r="J2" t="s">
        <v>23</v>
      </c>
      <c r="K2" t="s">
        <v>24</v>
      </c>
      <c r="L2" t="s">
        <v>25</v>
      </c>
      <c r="M2" t="s">
        <v>26</v>
      </c>
      <c r="N2" s="3">
        <v>17987.22</v>
      </c>
      <c r="O2">
        <v>10</v>
      </c>
      <c r="P2" s="3">
        <v>179872.2</v>
      </c>
    </row>
    <row r="3" spans="1:16" x14ac:dyDescent="0.3">
      <c r="A3" t="s">
        <v>27</v>
      </c>
      <c r="B3" s="2">
        <v>45597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2">
        <v>45605</v>
      </c>
      <c r="J3" t="s">
        <v>34</v>
      </c>
      <c r="K3" t="s">
        <v>24</v>
      </c>
      <c r="L3" t="s">
        <v>35</v>
      </c>
      <c r="M3" t="s">
        <v>36</v>
      </c>
      <c r="N3" s="3">
        <v>17422.57</v>
      </c>
      <c r="O3">
        <v>24</v>
      </c>
      <c r="P3" s="3">
        <v>418141.68</v>
      </c>
    </row>
    <row r="4" spans="1:16" x14ac:dyDescent="0.3">
      <c r="A4" t="s">
        <v>37</v>
      </c>
      <c r="B4" s="2">
        <v>45187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s="2">
        <v>45188</v>
      </c>
      <c r="J4" t="s">
        <v>23</v>
      </c>
      <c r="K4" t="s">
        <v>44</v>
      </c>
      <c r="L4" t="s">
        <v>45</v>
      </c>
      <c r="M4" t="s">
        <v>46</v>
      </c>
      <c r="N4" s="3">
        <v>3634.58</v>
      </c>
      <c r="O4">
        <v>43</v>
      </c>
      <c r="P4" s="3">
        <v>156286.94</v>
      </c>
    </row>
    <row r="5" spans="1:16" x14ac:dyDescent="0.3">
      <c r="A5" t="s">
        <v>47</v>
      </c>
      <c r="B5" s="2">
        <v>45585</v>
      </c>
      <c r="C5" t="s">
        <v>48</v>
      </c>
      <c r="D5" t="s">
        <v>29</v>
      </c>
      <c r="E5" t="s">
        <v>49</v>
      </c>
      <c r="F5" t="s">
        <v>50</v>
      </c>
      <c r="G5" t="s">
        <v>51</v>
      </c>
      <c r="H5" t="s">
        <v>33</v>
      </c>
      <c r="I5" s="2">
        <v>45591</v>
      </c>
      <c r="J5" t="s">
        <v>23</v>
      </c>
      <c r="K5" t="s">
        <v>24</v>
      </c>
      <c r="L5" t="s">
        <v>52</v>
      </c>
      <c r="M5" t="s">
        <v>53</v>
      </c>
      <c r="N5" s="3">
        <v>9572.5400000000009</v>
      </c>
      <c r="O5">
        <v>4</v>
      </c>
      <c r="P5" s="3">
        <v>38290.160000000003</v>
      </c>
    </row>
    <row r="6" spans="1:16" x14ac:dyDescent="0.3">
      <c r="A6" t="s">
        <v>54</v>
      </c>
      <c r="B6" s="2">
        <v>45079</v>
      </c>
      <c r="C6" t="s">
        <v>55</v>
      </c>
      <c r="D6" t="s">
        <v>56</v>
      </c>
      <c r="E6" t="s">
        <v>30</v>
      </c>
      <c r="F6" t="s">
        <v>57</v>
      </c>
      <c r="G6" t="s">
        <v>58</v>
      </c>
      <c r="H6" t="s">
        <v>43</v>
      </c>
      <c r="I6" s="2">
        <v>45087</v>
      </c>
      <c r="J6" t="s">
        <v>59</v>
      </c>
      <c r="K6" t="s">
        <v>60</v>
      </c>
      <c r="L6" t="s">
        <v>61</v>
      </c>
      <c r="M6" t="s">
        <v>62</v>
      </c>
      <c r="N6" s="3">
        <v>7607.52</v>
      </c>
      <c r="O6">
        <v>21</v>
      </c>
      <c r="P6" s="3">
        <v>159757.92000000001</v>
      </c>
    </row>
    <row r="7" spans="1:16" x14ac:dyDescent="0.3">
      <c r="A7" t="s">
        <v>63</v>
      </c>
      <c r="B7" s="2">
        <v>45494</v>
      </c>
      <c r="C7" t="s">
        <v>64</v>
      </c>
      <c r="D7" t="s">
        <v>39</v>
      </c>
      <c r="E7" t="s">
        <v>65</v>
      </c>
      <c r="F7" t="s">
        <v>66</v>
      </c>
      <c r="G7" t="s">
        <v>67</v>
      </c>
      <c r="H7" t="s">
        <v>68</v>
      </c>
      <c r="I7" s="2">
        <v>45498</v>
      </c>
      <c r="J7" t="s">
        <v>23</v>
      </c>
      <c r="K7" t="s">
        <v>69</v>
      </c>
      <c r="L7" t="s">
        <v>70</v>
      </c>
      <c r="M7" t="s">
        <v>71</v>
      </c>
      <c r="N7" s="3">
        <v>4174.1499999999996</v>
      </c>
      <c r="O7">
        <v>12</v>
      </c>
      <c r="P7" s="3">
        <v>50089.8</v>
      </c>
    </row>
    <row r="8" spans="1:16" x14ac:dyDescent="0.3">
      <c r="A8" t="s">
        <v>72</v>
      </c>
      <c r="B8" s="2">
        <v>44628</v>
      </c>
      <c r="C8" t="s">
        <v>73</v>
      </c>
      <c r="D8" t="s">
        <v>74</v>
      </c>
      <c r="E8" t="s">
        <v>65</v>
      </c>
      <c r="F8" t="s">
        <v>75</v>
      </c>
      <c r="G8" t="s">
        <v>76</v>
      </c>
      <c r="H8" t="s">
        <v>22</v>
      </c>
      <c r="I8" s="2">
        <v>44630</v>
      </c>
      <c r="J8" t="s">
        <v>77</v>
      </c>
      <c r="K8" t="s">
        <v>69</v>
      </c>
      <c r="L8" t="s">
        <v>78</v>
      </c>
      <c r="M8" t="s">
        <v>71</v>
      </c>
      <c r="N8" s="3">
        <v>8300.17</v>
      </c>
      <c r="O8">
        <v>22</v>
      </c>
      <c r="P8" s="3">
        <v>182603.74</v>
      </c>
    </row>
    <row r="9" spans="1:16" x14ac:dyDescent="0.3">
      <c r="A9" t="s">
        <v>79</v>
      </c>
      <c r="B9" s="2">
        <v>44992</v>
      </c>
      <c r="C9" t="s">
        <v>80</v>
      </c>
      <c r="D9" t="s">
        <v>39</v>
      </c>
      <c r="E9" t="s">
        <v>65</v>
      </c>
      <c r="F9" t="s">
        <v>57</v>
      </c>
      <c r="G9" t="s">
        <v>81</v>
      </c>
      <c r="H9" t="s">
        <v>43</v>
      </c>
      <c r="I9" s="2">
        <v>45002</v>
      </c>
      <c r="J9" t="s">
        <v>34</v>
      </c>
      <c r="K9" t="s">
        <v>24</v>
      </c>
      <c r="L9" t="s">
        <v>70</v>
      </c>
      <c r="M9" t="s">
        <v>71</v>
      </c>
      <c r="N9" s="3">
        <v>12351.25</v>
      </c>
      <c r="O9">
        <v>7</v>
      </c>
      <c r="P9" s="3">
        <v>86458.75</v>
      </c>
    </row>
    <row r="10" spans="1:16" x14ac:dyDescent="0.3">
      <c r="A10" t="s">
        <v>82</v>
      </c>
      <c r="B10" s="2">
        <v>45363</v>
      </c>
      <c r="C10" t="s">
        <v>83</v>
      </c>
      <c r="D10" t="s">
        <v>84</v>
      </c>
      <c r="E10" t="s">
        <v>85</v>
      </c>
      <c r="F10" t="s">
        <v>66</v>
      </c>
      <c r="G10" t="s">
        <v>86</v>
      </c>
      <c r="H10" t="s">
        <v>43</v>
      </c>
      <c r="I10" s="2">
        <v>45366</v>
      </c>
      <c r="J10" t="s">
        <v>77</v>
      </c>
      <c r="K10" t="s">
        <v>44</v>
      </c>
      <c r="L10" t="s">
        <v>87</v>
      </c>
      <c r="M10" t="s">
        <v>88</v>
      </c>
      <c r="N10" s="3">
        <v>9238.94</v>
      </c>
      <c r="O10">
        <v>4</v>
      </c>
      <c r="P10" s="3">
        <v>36955.760000000002</v>
      </c>
    </row>
    <row r="11" spans="1:16" x14ac:dyDescent="0.3">
      <c r="A11" t="s">
        <v>89</v>
      </c>
      <c r="B11" s="2">
        <v>44900</v>
      </c>
      <c r="C11" t="s">
        <v>90</v>
      </c>
      <c r="D11" t="s">
        <v>91</v>
      </c>
      <c r="E11" t="s">
        <v>85</v>
      </c>
      <c r="F11" t="s">
        <v>31</v>
      </c>
      <c r="G11" t="s">
        <v>92</v>
      </c>
      <c r="H11" t="s">
        <v>22</v>
      </c>
      <c r="I11" s="2">
        <v>44909</v>
      </c>
      <c r="J11" t="s">
        <v>34</v>
      </c>
      <c r="K11" t="s">
        <v>44</v>
      </c>
      <c r="L11" t="s">
        <v>93</v>
      </c>
      <c r="M11" t="s">
        <v>94</v>
      </c>
      <c r="N11" s="3">
        <v>6852.12</v>
      </c>
      <c r="O11">
        <v>2</v>
      </c>
      <c r="P11" s="3">
        <v>13704.24</v>
      </c>
    </row>
    <row r="12" spans="1:16" x14ac:dyDescent="0.3">
      <c r="A12" t="s">
        <v>95</v>
      </c>
      <c r="B12" s="2">
        <v>45792</v>
      </c>
      <c r="C12" t="s">
        <v>96</v>
      </c>
      <c r="D12" t="s">
        <v>74</v>
      </c>
      <c r="E12" t="s">
        <v>97</v>
      </c>
      <c r="F12" t="s">
        <v>31</v>
      </c>
      <c r="G12" t="s">
        <v>98</v>
      </c>
      <c r="H12" t="s">
        <v>33</v>
      </c>
      <c r="I12" s="2">
        <v>45801</v>
      </c>
      <c r="J12" t="s">
        <v>34</v>
      </c>
      <c r="K12" t="s">
        <v>69</v>
      </c>
      <c r="L12" t="s">
        <v>45</v>
      </c>
      <c r="M12" t="s">
        <v>46</v>
      </c>
      <c r="N12" s="3">
        <v>14707.52</v>
      </c>
      <c r="O12">
        <v>45</v>
      </c>
      <c r="P12" s="3">
        <v>661838.4</v>
      </c>
    </row>
    <row r="13" spans="1:16" x14ac:dyDescent="0.3">
      <c r="A13" t="s">
        <v>99</v>
      </c>
      <c r="B13" s="2">
        <v>45378</v>
      </c>
      <c r="C13" t="s">
        <v>100</v>
      </c>
      <c r="D13" t="s">
        <v>91</v>
      </c>
      <c r="E13" t="s">
        <v>85</v>
      </c>
      <c r="F13" t="s">
        <v>66</v>
      </c>
      <c r="G13" t="s">
        <v>101</v>
      </c>
      <c r="H13" t="s">
        <v>33</v>
      </c>
      <c r="I13" s="2">
        <v>45387</v>
      </c>
      <c r="J13" t="s">
        <v>59</v>
      </c>
      <c r="K13" t="s">
        <v>44</v>
      </c>
      <c r="L13" t="s">
        <v>35</v>
      </c>
      <c r="M13" t="s">
        <v>36</v>
      </c>
      <c r="N13" s="3">
        <v>19967.599999999999</v>
      </c>
      <c r="O13">
        <v>5</v>
      </c>
      <c r="P13" s="3">
        <v>99838</v>
      </c>
    </row>
    <row r="14" spans="1:16" x14ac:dyDescent="0.3">
      <c r="A14" t="s">
        <v>102</v>
      </c>
      <c r="B14" s="2">
        <v>44782</v>
      </c>
      <c r="C14" t="s">
        <v>103</v>
      </c>
      <c r="D14" t="s">
        <v>84</v>
      </c>
      <c r="E14" t="s">
        <v>49</v>
      </c>
      <c r="F14" t="s">
        <v>41</v>
      </c>
      <c r="G14" t="s">
        <v>104</v>
      </c>
      <c r="H14" t="s">
        <v>33</v>
      </c>
      <c r="I14" s="2">
        <v>44790</v>
      </c>
      <c r="J14" t="s">
        <v>59</v>
      </c>
      <c r="K14" t="s">
        <v>60</v>
      </c>
      <c r="L14" t="s">
        <v>78</v>
      </c>
      <c r="M14" t="s">
        <v>71</v>
      </c>
      <c r="N14" s="3">
        <v>17886.439999999999</v>
      </c>
      <c r="O14">
        <v>16</v>
      </c>
      <c r="P14" s="3">
        <v>286183.03999999998</v>
      </c>
    </row>
    <row r="15" spans="1:16" x14ac:dyDescent="0.3">
      <c r="A15" t="s">
        <v>105</v>
      </c>
      <c r="B15" s="2">
        <v>45917</v>
      </c>
      <c r="C15" t="s">
        <v>106</v>
      </c>
      <c r="D15" t="s">
        <v>91</v>
      </c>
      <c r="E15" t="s">
        <v>107</v>
      </c>
      <c r="F15" t="s">
        <v>108</v>
      </c>
      <c r="G15" t="s">
        <v>109</v>
      </c>
      <c r="H15" t="s">
        <v>22</v>
      </c>
      <c r="I15" s="2">
        <v>45927</v>
      </c>
      <c r="J15" t="s">
        <v>34</v>
      </c>
      <c r="K15" t="s">
        <v>44</v>
      </c>
      <c r="L15" t="s">
        <v>110</v>
      </c>
      <c r="M15" t="s">
        <v>111</v>
      </c>
      <c r="N15" s="3">
        <v>7416.18</v>
      </c>
      <c r="O15">
        <v>25</v>
      </c>
      <c r="P15" s="3">
        <v>185404.5</v>
      </c>
    </row>
    <row r="16" spans="1:16" x14ac:dyDescent="0.3">
      <c r="A16" t="s">
        <v>112</v>
      </c>
      <c r="B16" s="2">
        <v>45405</v>
      </c>
      <c r="C16" t="s">
        <v>113</v>
      </c>
      <c r="D16" t="s">
        <v>18</v>
      </c>
      <c r="E16" t="s">
        <v>114</v>
      </c>
      <c r="F16" t="s">
        <v>31</v>
      </c>
      <c r="G16" t="s">
        <v>115</v>
      </c>
      <c r="H16" t="s">
        <v>68</v>
      </c>
      <c r="I16" s="2">
        <v>45414</v>
      </c>
      <c r="J16" t="s">
        <v>59</v>
      </c>
      <c r="K16" t="s">
        <v>44</v>
      </c>
      <c r="L16" t="s">
        <v>45</v>
      </c>
      <c r="M16" t="s">
        <v>46</v>
      </c>
      <c r="N16" s="3">
        <v>7172.3</v>
      </c>
      <c r="O16">
        <v>10</v>
      </c>
      <c r="P16" s="3">
        <v>71723</v>
      </c>
    </row>
    <row r="17" spans="1:16" x14ac:dyDescent="0.3">
      <c r="A17" t="s">
        <v>116</v>
      </c>
      <c r="B17" s="2">
        <v>45099</v>
      </c>
      <c r="C17" t="s">
        <v>117</v>
      </c>
      <c r="D17" t="s">
        <v>74</v>
      </c>
      <c r="E17" t="s">
        <v>107</v>
      </c>
      <c r="F17" t="s">
        <v>66</v>
      </c>
      <c r="G17" t="s">
        <v>118</v>
      </c>
      <c r="H17" t="s">
        <v>22</v>
      </c>
      <c r="I17" s="2">
        <v>45109</v>
      </c>
      <c r="J17" t="s">
        <v>34</v>
      </c>
      <c r="K17" t="s">
        <v>69</v>
      </c>
      <c r="L17" t="s">
        <v>61</v>
      </c>
      <c r="M17" t="s">
        <v>62</v>
      </c>
      <c r="N17" s="3">
        <v>16289.42</v>
      </c>
      <c r="O17">
        <v>38</v>
      </c>
      <c r="P17" s="3">
        <v>618997.96</v>
      </c>
    </row>
    <row r="18" spans="1:16" x14ac:dyDescent="0.3">
      <c r="A18" t="s">
        <v>119</v>
      </c>
      <c r="B18" s="2">
        <v>45956</v>
      </c>
      <c r="C18" t="s">
        <v>120</v>
      </c>
      <c r="D18" t="s">
        <v>84</v>
      </c>
      <c r="E18" t="s">
        <v>65</v>
      </c>
      <c r="F18" t="s">
        <v>57</v>
      </c>
      <c r="G18" t="s">
        <v>121</v>
      </c>
      <c r="H18" t="s">
        <v>68</v>
      </c>
      <c r="I18" s="2">
        <v>45966</v>
      </c>
      <c r="J18" t="s">
        <v>122</v>
      </c>
      <c r="K18" t="s">
        <v>24</v>
      </c>
      <c r="L18" t="s">
        <v>87</v>
      </c>
      <c r="M18" t="s">
        <v>88</v>
      </c>
      <c r="N18" s="3">
        <v>8179.28</v>
      </c>
      <c r="O18">
        <v>27</v>
      </c>
      <c r="P18" s="3">
        <v>220840.56</v>
      </c>
    </row>
    <row r="19" spans="1:16" x14ac:dyDescent="0.3">
      <c r="A19" t="s">
        <v>123</v>
      </c>
      <c r="B19" s="2">
        <v>45070</v>
      </c>
      <c r="C19" t="s">
        <v>124</v>
      </c>
      <c r="D19" t="s">
        <v>18</v>
      </c>
      <c r="E19" t="s">
        <v>49</v>
      </c>
      <c r="F19" t="s">
        <v>57</v>
      </c>
      <c r="G19" t="s">
        <v>125</v>
      </c>
      <c r="H19" t="s">
        <v>33</v>
      </c>
      <c r="I19" s="2">
        <v>45077</v>
      </c>
      <c r="J19" t="s">
        <v>122</v>
      </c>
      <c r="K19" t="s">
        <v>24</v>
      </c>
      <c r="L19" t="s">
        <v>110</v>
      </c>
      <c r="M19" t="s">
        <v>111</v>
      </c>
      <c r="N19" s="3">
        <v>7093.88</v>
      </c>
      <c r="O19">
        <v>10</v>
      </c>
      <c r="P19" s="3">
        <v>70938.8</v>
      </c>
    </row>
    <row r="20" spans="1:16" x14ac:dyDescent="0.3">
      <c r="A20" t="s">
        <v>126</v>
      </c>
      <c r="B20" s="2">
        <v>44781</v>
      </c>
      <c r="C20" t="s">
        <v>127</v>
      </c>
      <c r="D20" t="s">
        <v>74</v>
      </c>
      <c r="E20" t="s">
        <v>85</v>
      </c>
      <c r="F20" t="s">
        <v>50</v>
      </c>
      <c r="G20" t="s">
        <v>128</v>
      </c>
      <c r="H20" t="s">
        <v>33</v>
      </c>
      <c r="I20" s="2">
        <v>44789</v>
      </c>
      <c r="J20" t="s">
        <v>34</v>
      </c>
      <c r="K20" t="s">
        <v>44</v>
      </c>
      <c r="L20" t="s">
        <v>129</v>
      </c>
      <c r="M20" t="s">
        <v>88</v>
      </c>
      <c r="N20" s="3">
        <v>4938.1000000000004</v>
      </c>
      <c r="O20">
        <v>13</v>
      </c>
      <c r="P20" s="3">
        <v>64195.3</v>
      </c>
    </row>
    <row r="21" spans="1:16" x14ac:dyDescent="0.3">
      <c r="A21" t="s">
        <v>130</v>
      </c>
      <c r="B21" s="2">
        <v>44588</v>
      </c>
      <c r="C21" t="s">
        <v>131</v>
      </c>
      <c r="D21" t="s">
        <v>74</v>
      </c>
      <c r="E21" t="s">
        <v>107</v>
      </c>
      <c r="F21" t="s">
        <v>20</v>
      </c>
      <c r="G21" t="s">
        <v>132</v>
      </c>
      <c r="H21" t="s">
        <v>43</v>
      </c>
      <c r="I21" s="2">
        <v>44596</v>
      </c>
      <c r="J21" t="s">
        <v>23</v>
      </c>
      <c r="K21" t="s">
        <v>69</v>
      </c>
      <c r="L21" t="s">
        <v>61</v>
      </c>
      <c r="M21" t="s">
        <v>62</v>
      </c>
      <c r="N21" s="3">
        <v>5120.16</v>
      </c>
      <c r="O21">
        <v>21</v>
      </c>
      <c r="P21" s="3">
        <v>107523.36</v>
      </c>
    </row>
    <row r="22" spans="1:16" x14ac:dyDescent="0.3">
      <c r="A22" t="s">
        <v>133</v>
      </c>
      <c r="B22" s="2">
        <v>45338</v>
      </c>
      <c r="C22" t="s">
        <v>134</v>
      </c>
      <c r="D22" t="s">
        <v>39</v>
      </c>
      <c r="E22" t="s">
        <v>114</v>
      </c>
      <c r="F22" t="s">
        <v>41</v>
      </c>
      <c r="G22" t="s">
        <v>135</v>
      </c>
      <c r="H22" t="s">
        <v>43</v>
      </c>
      <c r="I22" s="2">
        <v>45346</v>
      </c>
      <c r="J22" t="s">
        <v>122</v>
      </c>
      <c r="K22" t="s">
        <v>44</v>
      </c>
      <c r="L22" t="s">
        <v>35</v>
      </c>
      <c r="M22" t="s">
        <v>36</v>
      </c>
      <c r="N22" s="3">
        <v>18881.22</v>
      </c>
      <c r="O22">
        <v>20</v>
      </c>
      <c r="P22" s="3">
        <v>377624.4</v>
      </c>
    </row>
    <row r="23" spans="1:16" x14ac:dyDescent="0.3">
      <c r="A23" t="s">
        <v>136</v>
      </c>
      <c r="B23" s="2">
        <v>45873</v>
      </c>
      <c r="C23" t="s">
        <v>137</v>
      </c>
      <c r="D23" t="s">
        <v>91</v>
      </c>
      <c r="E23" t="s">
        <v>85</v>
      </c>
      <c r="F23" t="s">
        <v>41</v>
      </c>
      <c r="G23" t="s">
        <v>138</v>
      </c>
      <c r="H23" t="s">
        <v>22</v>
      </c>
      <c r="I23" s="2">
        <v>45877</v>
      </c>
      <c r="J23" t="s">
        <v>34</v>
      </c>
      <c r="K23" t="s">
        <v>44</v>
      </c>
      <c r="L23" t="s">
        <v>139</v>
      </c>
      <c r="M23" t="s">
        <v>140</v>
      </c>
      <c r="N23" s="3">
        <v>19359.150000000001</v>
      </c>
      <c r="O23">
        <v>33</v>
      </c>
      <c r="P23" s="3">
        <v>638851.95000000007</v>
      </c>
    </row>
    <row r="24" spans="1:16" x14ac:dyDescent="0.3">
      <c r="A24" t="s">
        <v>141</v>
      </c>
      <c r="B24" s="2">
        <v>45591</v>
      </c>
      <c r="C24" t="s">
        <v>142</v>
      </c>
      <c r="D24" t="s">
        <v>56</v>
      </c>
      <c r="E24" t="s">
        <v>97</v>
      </c>
      <c r="F24" t="s">
        <v>75</v>
      </c>
      <c r="G24" t="s">
        <v>143</v>
      </c>
      <c r="H24" t="s">
        <v>68</v>
      </c>
      <c r="I24" s="2">
        <v>45596</v>
      </c>
      <c r="J24" t="s">
        <v>59</v>
      </c>
      <c r="K24" t="s">
        <v>60</v>
      </c>
      <c r="L24" t="s">
        <v>25</v>
      </c>
      <c r="M24" t="s">
        <v>26</v>
      </c>
      <c r="N24" s="3">
        <v>19441.8</v>
      </c>
      <c r="O24">
        <v>41</v>
      </c>
      <c r="P24" s="3">
        <v>797113.79999999993</v>
      </c>
    </row>
    <row r="25" spans="1:16" x14ac:dyDescent="0.3">
      <c r="A25" t="s">
        <v>144</v>
      </c>
      <c r="B25" s="2">
        <v>45003</v>
      </c>
      <c r="C25" t="s">
        <v>145</v>
      </c>
      <c r="D25" t="s">
        <v>74</v>
      </c>
      <c r="E25" t="s">
        <v>49</v>
      </c>
      <c r="F25" t="s">
        <v>66</v>
      </c>
      <c r="G25" t="s">
        <v>146</v>
      </c>
      <c r="H25" t="s">
        <v>43</v>
      </c>
      <c r="I25" s="2">
        <v>45006</v>
      </c>
      <c r="J25" t="s">
        <v>59</v>
      </c>
      <c r="K25" t="s">
        <v>60</v>
      </c>
      <c r="L25" t="s">
        <v>147</v>
      </c>
      <c r="M25" t="s">
        <v>71</v>
      </c>
      <c r="N25" s="3">
        <v>12489.26</v>
      </c>
      <c r="O25">
        <v>27</v>
      </c>
      <c r="P25" s="3">
        <v>337210.02</v>
      </c>
    </row>
    <row r="26" spans="1:16" x14ac:dyDescent="0.3">
      <c r="A26" t="s">
        <v>148</v>
      </c>
      <c r="B26" s="2">
        <v>45295</v>
      </c>
      <c r="C26" t="s">
        <v>149</v>
      </c>
      <c r="D26" t="s">
        <v>29</v>
      </c>
      <c r="E26" t="s">
        <v>40</v>
      </c>
      <c r="F26" t="s">
        <v>150</v>
      </c>
      <c r="G26" t="s">
        <v>151</v>
      </c>
      <c r="H26" t="s">
        <v>43</v>
      </c>
      <c r="I26" s="2">
        <v>45297</v>
      </c>
      <c r="J26" t="s">
        <v>59</v>
      </c>
      <c r="K26" t="s">
        <v>60</v>
      </c>
      <c r="L26" t="s">
        <v>93</v>
      </c>
      <c r="M26" t="s">
        <v>94</v>
      </c>
      <c r="N26" s="3">
        <v>6764</v>
      </c>
      <c r="O26">
        <v>9</v>
      </c>
      <c r="P26" s="3">
        <v>60876</v>
      </c>
    </row>
    <row r="27" spans="1:16" x14ac:dyDescent="0.3">
      <c r="A27" t="s">
        <v>152</v>
      </c>
      <c r="B27" s="2">
        <v>44963</v>
      </c>
      <c r="C27" t="s">
        <v>153</v>
      </c>
      <c r="D27" t="s">
        <v>91</v>
      </c>
      <c r="E27" t="s">
        <v>40</v>
      </c>
      <c r="F27" t="s">
        <v>41</v>
      </c>
      <c r="G27" t="s">
        <v>154</v>
      </c>
      <c r="H27" t="s">
        <v>33</v>
      </c>
      <c r="I27" s="2">
        <v>44966</v>
      </c>
      <c r="J27" t="s">
        <v>59</v>
      </c>
      <c r="K27" t="s">
        <v>44</v>
      </c>
      <c r="L27" t="s">
        <v>52</v>
      </c>
      <c r="M27" t="s">
        <v>53</v>
      </c>
      <c r="N27" s="3">
        <v>6678.12</v>
      </c>
      <c r="O27">
        <v>44</v>
      </c>
      <c r="P27" s="3">
        <v>293837.28000000003</v>
      </c>
    </row>
    <row r="28" spans="1:16" x14ac:dyDescent="0.3">
      <c r="A28" t="s">
        <v>155</v>
      </c>
      <c r="B28" s="2">
        <v>44753</v>
      </c>
      <c r="C28" t="s">
        <v>156</v>
      </c>
      <c r="D28" t="s">
        <v>157</v>
      </c>
      <c r="E28" t="s">
        <v>107</v>
      </c>
      <c r="F28" t="s">
        <v>57</v>
      </c>
      <c r="G28" t="s">
        <v>158</v>
      </c>
      <c r="H28" t="s">
        <v>68</v>
      </c>
      <c r="I28" s="2">
        <v>44756</v>
      </c>
      <c r="J28" t="s">
        <v>122</v>
      </c>
      <c r="K28" t="s">
        <v>69</v>
      </c>
      <c r="L28" t="s">
        <v>25</v>
      </c>
      <c r="M28" t="s">
        <v>26</v>
      </c>
      <c r="N28" s="3">
        <v>18910.03</v>
      </c>
      <c r="O28">
        <v>26</v>
      </c>
      <c r="P28" s="3">
        <v>491660.78</v>
      </c>
    </row>
    <row r="29" spans="1:16" x14ac:dyDescent="0.3">
      <c r="A29" t="s">
        <v>159</v>
      </c>
      <c r="B29" s="2">
        <v>44911</v>
      </c>
      <c r="C29" t="s">
        <v>160</v>
      </c>
      <c r="D29" t="s">
        <v>74</v>
      </c>
      <c r="E29" t="s">
        <v>65</v>
      </c>
      <c r="F29" t="s">
        <v>150</v>
      </c>
      <c r="G29" t="s">
        <v>161</v>
      </c>
      <c r="H29" t="s">
        <v>68</v>
      </c>
      <c r="I29" s="2">
        <v>44912</v>
      </c>
      <c r="J29" t="s">
        <v>77</v>
      </c>
      <c r="K29" t="s">
        <v>60</v>
      </c>
      <c r="L29" t="s">
        <v>147</v>
      </c>
      <c r="M29" t="s">
        <v>71</v>
      </c>
      <c r="N29" s="3">
        <v>8797.69</v>
      </c>
      <c r="O29">
        <v>6</v>
      </c>
      <c r="P29" s="3">
        <v>52786.14</v>
      </c>
    </row>
    <row r="30" spans="1:16" x14ac:dyDescent="0.3">
      <c r="A30" t="s">
        <v>162</v>
      </c>
      <c r="B30" s="2">
        <v>45863</v>
      </c>
      <c r="C30" t="s">
        <v>163</v>
      </c>
      <c r="D30" t="s">
        <v>164</v>
      </c>
      <c r="E30" t="s">
        <v>85</v>
      </c>
      <c r="F30" t="s">
        <v>66</v>
      </c>
      <c r="G30" t="s">
        <v>165</v>
      </c>
      <c r="H30" t="s">
        <v>33</v>
      </c>
      <c r="I30" s="2">
        <v>45867</v>
      </c>
      <c r="J30" t="s">
        <v>23</v>
      </c>
      <c r="K30" t="s">
        <v>24</v>
      </c>
      <c r="L30" t="s">
        <v>70</v>
      </c>
      <c r="M30" t="s">
        <v>71</v>
      </c>
      <c r="N30" s="3">
        <v>15124.53</v>
      </c>
      <c r="O30">
        <v>46</v>
      </c>
      <c r="P30" s="3">
        <v>695728.38</v>
      </c>
    </row>
    <row r="31" spans="1:16" x14ac:dyDescent="0.3">
      <c r="A31" t="s">
        <v>166</v>
      </c>
      <c r="B31" s="2">
        <v>44776</v>
      </c>
      <c r="C31" t="s">
        <v>167</v>
      </c>
      <c r="D31" t="s">
        <v>74</v>
      </c>
      <c r="E31" t="s">
        <v>49</v>
      </c>
      <c r="F31" t="s">
        <v>168</v>
      </c>
      <c r="G31" t="s">
        <v>169</v>
      </c>
      <c r="H31" t="s">
        <v>43</v>
      </c>
      <c r="I31" s="2">
        <v>44780</v>
      </c>
      <c r="J31" t="s">
        <v>77</v>
      </c>
      <c r="K31" t="s">
        <v>69</v>
      </c>
      <c r="L31" t="s">
        <v>25</v>
      </c>
      <c r="M31" t="s">
        <v>26</v>
      </c>
      <c r="N31" s="3">
        <v>16128.3</v>
      </c>
      <c r="O31">
        <v>22</v>
      </c>
      <c r="P31" s="3">
        <v>354822.6</v>
      </c>
    </row>
    <row r="32" spans="1:16" x14ac:dyDescent="0.3">
      <c r="A32" t="s">
        <v>170</v>
      </c>
      <c r="B32" s="2">
        <v>45048</v>
      </c>
      <c r="C32" t="s">
        <v>171</v>
      </c>
      <c r="D32" t="s">
        <v>18</v>
      </c>
      <c r="E32" t="s">
        <v>19</v>
      </c>
      <c r="F32" t="s">
        <v>50</v>
      </c>
      <c r="G32" t="s">
        <v>172</v>
      </c>
      <c r="H32" t="s">
        <v>22</v>
      </c>
      <c r="I32" s="2">
        <v>45050</v>
      </c>
      <c r="J32" t="s">
        <v>122</v>
      </c>
      <c r="K32" t="s">
        <v>44</v>
      </c>
      <c r="L32" t="s">
        <v>147</v>
      </c>
      <c r="M32" t="s">
        <v>71</v>
      </c>
      <c r="N32" s="3">
        <v>6294.74</v>
      </c>
      <c r="O32">
        <v>10</v>
      </c>
      <c r="P32" s="3">
        <v>62947.399999999987</v>
      </c>
    </row>
    <row r="33" spans="1:16" x14ac:dyDescent="0.3">
      <c r="A33" t="s">
        <v>173</v>
      </c>
      <c r="B33" s="2">
        <v>45676</v>
      </c>
      <c r="C33" t="s">
        <v>174</v>
      </c>
      <c r="D33" t="s">
        <v>29</v>
      </c>
      <c r="E33" t="s">
        <v>97</v>
      </c>
      <c r="F33" t="s">
        <v>50</v>
      </c>
      <c r="G33" t="s">
        <v>175</v>
      </c>
      <c r="H33" t="s">
        <v>43</v>
      </c>
      <c r="I33" s="2">
        <v>45678</v>
      </c>
      <c r="J33" t="s">
        <v>122</v>
      </c>
      <c r="K33" t="s">
        <v>69</v>
      </c>
      <c r="L33" t="s">
        <v>45</v>
      </c>
      <c r="M33" t="s">
        <v>46</v>
      </c>
      <c r="N33" s="3">
        <v>10490.09</v>
      </c>
      <c r="O33">
        <v>48</v>
      </c>
      <c r="P33" s="3">
        <v>503524.32</v>
      </c>
    </row>
    <row r="34" spans="1:16" x14ac:dyDescent="0.3">
      <c r="A34" t="s">
        <v>176</v>
      </c>
      <c r="B34" s="2">
        <v>44878</v>
      </c>
      <c r="C34" t="s">
        <v>177</v>
      </c>
      <c r="D34" t="s">
        <v>84</v>
      </c>
      <c r="E34" t="s">
        <v>65</v>
      </c>
      <c r="F34" t="s">
        <v>168</v>
      </c>
      <c r="G34" t="s">
        <v>178</v>
      </c>
      <c r="H34" t="s">
        <v>22</v>
      </c>
      <c r="I34" s="2">
        <v>44885</v>
      </c>
      <c r="J34" t="s">
        <v>59</v>
      </c>
      <c r="K34" t="s">
        <v>69</v>
      </c>
      <c r="L34" t="s">
        <v>129</v>
      </c>
      <c r="M34" t="s">
        <v>88</v>
      </c>
      <c r="N34" s="3">
        <v>3093.86</v>
      </c>
      <c r="O34">
        <v>38</v>
      </c>
      <c r="P34" s="3">
        <v>117566.68</v>
      </c>
    </row>
    <row r="35" spans="1:16" x14ac:dyDescent="0.3">
      <c r="A35" t="s">
        <v>179</v>
      </c>
      <c r="B35" s="2">
        <v>44816</v>
      </c>
      <c r="C35" t="s">
        <v>180</v>
      </c>
      <c r="D35" t="s">
        <v>29</v>
      </c>
      <c r="E35" t="s">
        <v>65</v>
      </c>
      <c r="F35" t="s">
        <v>57</v>
      </c>
      <c r="G35" t="s">
        <v>181</v>
      </c>
      <c r="H35" t="s">
        <v>43</v>
      </c>
      <c r="I35" s="2">
        <v>44825</v>
      </c>
      <c r="J35" t="s">
        <v>77</v>
      </c>
      <c r="K35" t="s">
        <v>60</v>
      </c>
      <c r="L35" t="s">
        <v>139</v>
      </c>
      <c r="M35" t="s">
        <v>140</v>
      </c>
      <c r="N35" s="3">
        <v>7177.01</v>
      </c>
      <c r="O35">
        <v>15</v>
      </c>
      <c r="P35" s="3">
        <v>107655.15</v>
      </c>
    </row>
    <row r="36" spans="1:16" x14ac:dyDescent="0.3">
      <c r="A36" t="s">
        <v>182</v>
      </c>
      <c r="B36" s="2">
        <v>45828</v>
      </c>
      <c r="C36" t="s">
        <v>183</v>
      </c>
      <c r="D36" t="s">
        <v>39</v>
      </c>
      <c r="E36" t="s">
        <v>107</v>
      </c>
      <c r="F36" t="s">
        <v>31</v>
      </c>
      <c r="G36" t="s">
        <v>184</v>
      </c>
      <c r="H36" t="s">
        <v>68</v>
      </c>
      <c r="I36" s="2">
        <v>45830</v>
      </c>
      <c r="J36" t="s">
        <v>77</v>
      </c>
      <c r="K36" t="s">
        <v>60</v>
      </c>
      <c r="L36" t="s">
        <v>87</v>
      </c>
      <c r="M36" t="s">
        <v>88</v>
      </c>
      <c r="N36" s="3">
        <v>4466.45</v>
      </c>
      <c r="O36">
        <v>38</v>
      </c>
      <c r="P36" s="3">
        <v>169725.1</v>
      </c>
    </row>
    <row r="37" spans="1:16" x14ac:dyDescent="0.3">
      <c r="A37" t="s">
        <v>185</v>
      </c>
      <c r="B37" s="2">
        <v>45063</v>
      </c>
      <c r="C37" t="s">
        <v>186</v>
      </c>
      <c r="D37" t="s">
        <v>18</v>
      </c>
      <c r="E37" t="s">
        <v>49</v>
      </c>
      <c r="F37" t="s">
        <v>75</v>
      </c>
      <c r="G37" t="s">
        <v>187</v>
      </c>
      <c r="H37" t="s">
        <v>43</v>
      </c>
      <c r="I37" s="2">
        <v>45072</v>
      </c>
      <c r="J37" t="s">
        <v>77</v>
      </c>
      <c r="K37" t="s">
        <v>60</v>
      </c>
      <c r="L37" t="s">
        <v>78</v>
      </c>
      <c r="M37" t="s">
        <v>71</v>
      </c>
      <c r="N37" s="3">
        <v>2983.46</v>
      </c>
      <c r="O37">
        <v>5</v>
      </c>
      <c r="P37" s="3">
        <v>14917.3</v>
      </c>
    </row>
    <row r="38" spans="1:16" x14ac:dyDescent="0.3">
      <c r="A38" t="s">
        <v>188</v>
      </c>
      <c r="B38" s="2">
        <v>45648</v>
      </c>
      <c r="C38" t="s">
        <v>189</v>
      </c>
      <c r="D38" t="s">
        <v>190</v>
      </c>
      <c r="E38" t="s">
        <v>49</v>
      </c>
      <c r="F38" t="s">
        <v>150</v>
      </c>
      <c r="G38" t="s">
        <v>191</v>
      </c>
      <c r="H38" t="s">
        <v>22</v>
      </c>
      <c r="I38" s="2">
        <v>45652</v>
      </c>
      <c r="J38" t="s">
        <v>122</v>
      </c>
      <c r="K38" t="s">
        <v>60</v>
      </c>
      <c r="L38" t="s">
        <v>52</v>
      </c>
      <c r="M38" t="s">
        <v>53</v>
      </c>
      <c r="N38" s="3">
        <v>10015.6</v>
      </c>
      <c r="O38">
        <v>40</v>
      </c>
      <c r="P38" s="3">
        <v>400624</v>
      </c>
    </row>
    <row r="39" spans="1:16" x14ac:dyDescent="0.3">
      <c r="A39" t="s">
        <v>192</v>
      </c>
      <c r="B39" s="2">
        <v>45242</v>
      </c>
      <c r="C39" t="s">
        <v>193</v>
      </c>
      <c r="D39" t="s">
        <v>18</v>
      </c>
      <c r="E39" t="s">
        <v>49</v>
      </c>
      <c r="F39" t="s">
        <v>50</v>
      </c>
      <c r="G39" t="s">
        <v>194</v>
      </c>
      <c r="H39" t="s">
        <v>68</v>
      </c>
      <c r="I39" s="2">
        <v>45248</v>
      </c>
      <c r="J39" t="s">
        <v>23</v>
      </c>
      <c r="K39" t="s">
        <v>69</v>
      </c>
      <c r="L39" t="s">
        <v>52</v>
      </c>
      <c r="M39" t="s">
        <v>53</v>
      </c>
      <c r="N39" s="3">
        <v>16986.41</v>
      </c>
      <c r="O39">
        <v>48</v>
      </c>
      <c r="P39" s="3">
        <v>815347.67999999993</v>
      </c>
    </row>
    <row r="40" spans="1:16" x14ac:dyDescent="0.3">
      <c r="A40" t="s">
        <v>195</v>
      </c>
      <c r="B40" s="2">
        <v>44919</v>
      </c>
      <c r="C40" t="s">
        <v>196</v>
      </c>
      <c r="D40" t="s">
        <v>164</v>
      </c>
      <c r="E40" t="s">
        <v>197</v>
      </c>
      <c r="F40" t="s">
        <v>66</v>
      </c>
      <c r="G40" t="s">
        <v>198</v>
      </c>
      <c r="H40" t="s">
        <v>22</v>
      </c>
      <c r="I40" s="2">
        <v>44926</v>
      </c>
      <c r="J40" t="s">
        <v>122</v>
      </c>
      <c r="K40" t="s">
        <v>69</v>
      </c>
      <c r="L40" t="s">
        <v>25</v>
      </c>
      <c r="M40" t="s">
        <v>26</v>
      </c>
      <c r="N40" s="3">
        <v>16967.28</v>
      </c>
      <c r="O40">
        <v>40</v>
      </c>
      <c r="P40" s="3">
        <v>678691.2</v>
      </c>
    </row>
    <row r="41" spans="1:16" x14ac:dyDescent="0.3">
      <c r="A41" t="s">
        <v>199</v>
      </c>
      <c r="B41" s="2">
        <v>44825</v>
      </c>
      <c r="C41" t="s">
        <v>200</v>
      </c>
      <c r="D41" t="s">
        <v>18</v>
      </c>
      <c r="E41" t="s">
        <v>114</v>
      </c>
      <c r="F41" t="s">
        <v>66</v>
      </c>
      <c r="G41" t="s">
        <v>201</v>
      </c>
      <c r="H41" t="s">
        <v>68</v>
      </c>
      <c r="I41" s="2">
        <v>44833</v>
      </c>
      <c r="J41" t="s">
        <v>59</v>
      </c>
      <c r="K41" t="s">
        <v>44</v>
      </c>
      <c r="L41" t="s">
        <v>35</v>
      </c>
      <c r="M41" t="s">
        <v>36</v>
      </c>
      <c r="N41" s="3">
        <v>10840.97</v>
      </c>
      <c r="O41">
        <v>48</v>
      </c>
      <c r="P41" s="3">
        <v>520366.55999999988</v>
      </c>
    </row>
    <row r="42" spans="1:16" x14ac:dyDescent="0.3">
      <c r="A42" t="s">
        <v>202</v>
      </c>
      <c r="B42" s="2">
        <v>45341</v>
      </c>
      <c r="C42" t="s">
        <v>203</v>
      </c>
      <c r="D42" t="s">
        <v>29</v>
      </c>
      <c r="E42" t="s">
        <v>40</v>
      </c>
      <c r="F42" t="s">
        <v>108</v>
      </c>
      <c r="G42" t="s">
        <v>181</v>
      </c>
      <c r="H42" t="s">
        <v>68</v>
      </c>
      <c r="I42" s="2">
        <v>45343</v>
      </c>
      <c r="J42" t="s">
        <v>23</v>
      </c>
      <c r="K42" t="s">
        <v>24</v>
      </c>
      <c r="L42" t="s">
        <v>93</v>
      </c>
      <c r="M42" t="s">
        <v>94</v>
      </c>
      <c r="N42" s="3">
        <v>8328.7000000000007</v>
      </c>
      <c r="O42">
        <v>21</v>
      </c>
      <c r="P42" s="3">
        <v>174902.7</v>
      </c>
    </row>
    <row r="43" spans="1:16" x14ac:dyDescent="0.3">
      <c r="A43" t="s">
        <v>204</v>
      </c>
      <c r="B43" s="2">
        <v>45717</v>
      </c>
      <c r="C43" t="s">
        <v>205</v>
      </c>
      <c r="D43" t="s">
        <v>29</v>
      </c>
      <c r="E43" t="s">
        <v>30</v>
      </c>
      <c r="F43" t="s">
        <v>50</v>
      </c>
      <c r="G43" t="s">
        <v>206</v>
      </c>
      <c r="H43" t="s">
        <v>43</v>
      </c>
      <c r="I43" s="2">
        <v>45725</v>
      </c>
      <c r="J43" t="s">
        <v>59</v>
      </c>
      <c r="K43" t="s">
        <v>69</v>
      </c>
      <c r="L43" t="s">
        <v>45</v>
      </c>
      <c r="M43" t="s">
        <v>46</v>
      </c>
      <c r="N43" s="3">
        <v>4344.8599999999997</v>
      </c>
      <c r="O43">
        <v>5</v>
      </c>
      <c r="P43" s="3">
        <v>21724.3</v>
      </c>
    </row>
    <row r="44" spans="1:16" x14ac:dyDescent="0.3">
      <c r="A44" t="s">
        <v>207</v>
      </c>
      <c r="B44" s="2">
        <v>45585</v>
      </c>
      <c r="C44" t="s">
        <v>208</v>
      </c>
      <c r="D44" t="s">
        <v>190</v>
      </c>
      <c r="E44" t="s">
        <v>49</v>
      </c>
      <c r="F44" t="s">
        <v>150</v>
      </c>
      <c r="G44" t="s">
        <v>209</v>
      </c>
      <c r="H44" t="s">
        <v>33</v>
      </c>
      <c r="I44" s="2">
        <v>45587</v>
      </c>
      <c r="J44" t="s">
        <v>59</v>
      </c>
      <c r="K44" t="s">
        <v>44</v>
      </c>
      <c r="L44" t="s">
        <v>210</v>
      </c>
      <c r="M44" t="s">
        <v>140</v>
      </c>
      <c r="N44" s="3">
        <v>7181.97</v>
      </c>
      <c r="O44">
        <v>16</v>
      </c>
      <c r="P44" s="3">
        <v>114911.52</v>
      </c>
    </row>
    <row r="45" spans="1:16" x14ac:dyDescent="0.3">
      <c r="A45" t="s">
        <v>211</v>
      </c>
      <c r="B45" s="2">
        <v>44707</v>
      </c>
      <c r="C45" t="s">
        <v>212</v>
      </c>
      <c r="D45" t="s">
        <v>164</v>
      </c>
      <c r="E45" t="s">
        <v>114</v>
      </c>
      <c r="F45" t="s">
        <v>31</v>
      </c>
      <c r="G45" t="s">
        <v>213</v>
      </c>
      <c r="H45" t="s">
        <v>33</v>
      </c>
      <c r="I45" s="2">
        <v>44714</v>
      </c>
      <c r="J45" t="s">
        <v>122</v>
      </c>
      <c r="K45" t="s">
        <v>60</v>
      </c>
      <c r="L45" t="s">
        <v>25</v>
      </c>
      <c r="M45" t="s">
        <v>26</v>
      </c>
      <c r="N45" s="3">
        <v>8855.4599999999991</v>
      </c>
      <c r="O45">
        <v>29</v>
      </c>
      <c r="P45" s="3">
        <v>256808.34</v>
      </c>
    </row>
    <row r="46" spans="1:16" x14ac:dyDescent="0.3">
      <c r="A46" t="s">
        <v>214</v>
      </c>
      <c r="B46" s="2">
        <v>45815</v>
      </c>
      <c r="C46" t="s">
        <v>215</v>
      </c>
      <c r="D46" t="s">
        <v>84</v>
      </c>
      <c r="E46" t="s">
        <v>65</v>
      </c>
      <c r="F46" t="s">
        <v>41</v>
      </c>
      <c r="G46" t="s">
        <v>216</v>
      </c>
      <c r="H46" t="s">
        <v>33</v>
      </c>
      <c r="I46" s="2">
        <v>45819</v>
      </c>
      <c r="J46" t="s">
        <v>77</v>
      </c>
      <c r="K46" t="s">
        <v>69</v>
      </c>
      <c r="L46" t="s">
        <v>35</v>
      </c>
      <c r="M46" t="s">
        <v>36</v>
      </c>
      <c r="N46" s="3">
        <v>15629.33</v>
      </c>
      <c r="O46">
        <v>46</v>
      </c>
      <c r="P46" s="3">
        <v>718949.18</v>
      </c>
    </row>
    <row r="47" spans="1:16" x14ac:dyDescent="0.3">
      <c r="A47" t="s">
        <v>217</v>
      </c>
      <c r="B47" s="2">
        <v>45337</v>
      </c>
      <c r="C47" t="s">
        <v>218</v>
      </c>
      <c r="D47" t="s">
        <v>164</v>
      </c>
      <c r="E47" t="s">
        <v>197</v>
      </c>
      <c r="F47" t="s">
        <v>50</v>
      </c>
      <c r="G47" t="s">
        <v>219</v>
      </c>
      <c r="H47" t="s">
        <v>33</v>
      </c>
      <c r="I47" s="2">
        <v>45347</v>
      </c>
      <c r="J47" t="s">
        <v>122</v>
      </c>
      <c r="K47" t="s">
        <v>60</v>
      </c>
      <c r="L47" t="s">
        <v>70</v>
      </c>
      <c r="M47" t="s">
        <v>71</v>
      </c>
      <c r="N47" s="3">
        <v>19215.39</v>
      </c>
      <c r="O47">
        <v>48</v>
      </c>
      <c r="P47" s="3">
        <v>922338.72</v>
      </c>
    </row>
    <row r="48" spans="1:16" x14ac:dyDescent="0.3">
      <c r="A48" t="s">
        <v>220</v>
      </c>
      <c r="B48" s="2">
        <v>45258</v>
      </c>
      <c r="C48" t="s">
        <v>221</v>
      </c>
      <c r="D48" t="s">
        <v>18</v>
      </c>
      <c r="E48" t="s">
        <v>30</v>
      </c>
      <c r="F48" t="s">
        <v>41</v>
      </c>
      <c r="G48" t="s">
        <v>222</v>
      </c>
      <c r="H48" t="s">
        <v>22</v>
      </c>
      <c r="I48" s="2">
        <v>45262</v>
      </c>
      <c r="J48" t="s">
        <v>122</v>
      </c>
      <c r="K48" t="s">
        <v>69</v>
      </c>
      <c r="L48" t="s">
        <v>78</v>
      </c>
      <c r="M48" t="s">
        <v>71</v>
      </c>
      <c r="N48" s="3">
        <v>9500.77</v>
      </c>
      <c r="O48">
        <v>7</v>
      </c>
      <c r="P48" s="3">
        <v>66505.39</v>
      </c>
    </row>
    <row r="49" spans="1:16" x14ac:dyDescent="0.3">
      <c r="A49" t="s">
        <v>223</v>
      </c>
      <c r="B49" s="2">
        <v>45226</v>
      </c>
      <c r="C49" t="s">
        <v>224</v>
      </c>
      <c r="D49" t="s">
        <v>74</v>
      </c>
      <c r="E49" t="s">
        <v>19</v>
      </c>
      <c r="F49" t="s">
        <v>168</v>
      </c>
      <c r="G49" t="s">
        <v>225</v>
      </c>
      <c r="H49" t="s">
        <v>33</v>
      </c>
      <c r="I49" s="2">
        <v>45227</v>
      </c>
      <c r="J49" t="s">
        <v>34</v>
      </c>
      <c r="K49" t="s">
        <v>69</v>
      </c>
      <c r="L49" t="s">
        <v>70</v>
      </c>
      <c r="M49" t="s">
        <v>71</v>
      </c>
      <c r="N49" s="3">
        <v>18024.189999999999</v>
      </c>
      <c r="O49">
        <v>31</v>
      </c>
      <c r="P49" s="3">
        <v>558749.89</v>
      </c>
    </row>
    <row r="50" spans="1:16" x14ac:dyDescent="0.3">
      <c r="A50" t="s">
        <v>226</v>
      </c>
      <c r="B50" s="2">
        <v>44966</v>
      </c>
      <c r="C50" t="s">
        <v>227</v>
      </c>
      <c r="D50" t="s">
        <v>164</v>
      </c>
      <c r="E50" t="s">
        <v>114</v>
      </c>
      <c r="F50" t="s">
        <v>66</v>
      </c>
      <c r="G50" t="s">
        <v>228</v>
      </c>
      <c r="H50" t="s">
        <v>68</v>
      </c>
      <c r="I50" s="2">
        <v>44970</v>
      </c>
      <c r="J50" t="s">
        <v>77</v>
      </c>
      <c r="K50" t="s">
        <v>44</v>
      </c>
      <c r="L50" t="s">
        <v>87</v>
      </c>
      <c r="M50" t="s">
        <v>88</v>
      </c>
      <c r="N50" s="3">
        <v>18674.91</v>
      </c>
      <c r="O50">
        <v>33</v>
      </c>
      <c r="P50" s="3">
        <v>616272.03</v>
      </c>
    </row>
    <row r="51" spans="1:16" x14ac:dyDescent="0.3">
      <c r="A51" t="s">
        <v>229</v>
      </c>
      <c r="B51" s="2">
        <v>45782</v>
      </c>
      <c r="C51" t="s">
        <v>230</v>
      </c>
      <c r="D51" t="s">
        <v>190</v>
      </c>
      <c r="E51" t="s">
        <v>19</v>
      </c>
      <c r="F51" t="s">
        <v>108</v>
      </c>
      <c r="G51" t="s">
        <v>231</v>
      </c>
      <c r="H51" t="s">
        <v>43</v>
      </c>
      <c r="I51" s="2">
        <v>45785</v>
      </c>
      <c r="J51" t="s">
        <v>122</v>
      </c>
      <c r="K51" t="s">
        <v>60</v>
      </c>
      <c r="L51" t="s">
        <v>78</v>
      </c>
      <c r="M51" t="s">
        <v>71</v>
      </c>
      <c r="N51" s="3">
        <v>9925.01</v>
      </c>
      <c r="O51">
        <v>2</v>
      </c>
      <c r="P51" s="3">
        <v>19850.02</v>
      </c>
    </row>
    <row r="52" spans="1:16" x14ac:dyDescent="0.3">
      <c r="A52" t="s">
        <v>232</v>
      </c>
      <c r="B52" s="2">
        <v>44811</v>
      </c>
      <c r="C52" t="s">
        <v>233</v>
      </c>
      <c r="D52" t="s">
        <v>56</v>
      </c>
      <c r="E52" t="s">
        <v>114</v>
      </c>
      <c r="F52" t="s">
        <v>150</v>
      </c>
      <c r="G52" t="s">
        <v>234</v>
      </c>
      <c r="H52" t="s">
        <v>68</v>
      </c>
      <c r="I52" s="2">
        <v>44817</v>
      </c>
      <c r="J52" t="s">
        <v>122</v>
      </c>
      <c r="K52" t="s">
        <v>60</v>
      </c>
      <c r="L52" t="s">
        <v>129</v>
      </c>
      <c r="M52" t="s">
        <v>88</v>
      </c>
      <c r="N52" s="3">
        <v>10263.5</v>
      </c>
      <c r="O52">
        <v>49</v>
      </c>
      <c r="P52" s="3">
        <v>502911.5</v>
      </c>
    </row>
    <row r="53" spans="1:16" x14ac:dyDescent="0.3">
      <c r="A53" t="s">
        <v>235</v>
      </c>
      <c r="B53" s="2">
        <v>45766</v>
      </c>
      <c r="C53" t="s">
        <v>236</v>
      </c>
      <c r="D53" t="s">
        <v>29</v>
      </c>
      <c r="E53" t="s">
        <v>65</v>
      </c>
      <c r="F53" t="s">
        <v>168</v>
      </c>
      <c r="G53" t="s">
        <v>237</v>
      </c>
      <c r="H53" t="s">
        <v>68</v>
      </c>
      <c r="I53" s="2">
        <v>45770</v>
      </c>
      <c r="J53" t="s">
        <v>34</v>
      </c>
      <c r="K53" t="s">
        <v>60</v>
      </c>
      <c r="L53" t="s">
        <v>61</v>
      </c>
      <c r="M53" t="s">
        <v>62</v>
      </c>
      <c r="N53" s="3">
        <v>12510.14</v>
      </c>
      <c r="O53">
        <v>18</v>
      </c>
      <c r="P53" s="3">
        <v>225182.52</v>
      </c>
    </row>
    <row r="54" spans="1:16" x14ac:dyDescent="0.3">
      <c r="A54" t="s">
        <v>238</v>
      </c>
      <c r="B54" s="2">
        <v>45835</v>
      </c>
      <c r="C54" t="s">
        <v>239</v>
      </c>
      <c r="D54" t="s">
        <v>84</v>
      </c>
      <c r="E54" t="s">
        <v>107</v>
      </c>
      <c r="F54" t="s">
        <v>41</v>
      </c>
      <c r="G54" t="s">
        <v>240</v>
      </c>
      <c r="H54" t="s">
        <v>33</v>
      </c>
      <c r="I54" s="2">
        <v>45840</v>
      </c>
      <c r="J54" t="s">
        <v>34</v>
      </c>
      <c r="K54" t="s">
        <v>44</v>
      </c>
      <c r="L54" t="s">
        <v>70</v>
      </c>
      <c r="M54" t="s">
        <v>71</v>
      </c>
      <c r="N54" s="3">
        <v>7463.72</v>
      </c>
      <c r="O54">
        <v>21</v>
      </c>
      <c r="P54" s="3">
        <v>156738.12</v>
      </c>
    </row>
    <row r="55" spans="1:16" x14ac:dyDescent="0.3">
      <c r="A55" t="s">
        <v>241</v>
      </c>
      <c r="B55" s="2">
        <v>44638</v>
      </c>
      <c r="C55" t="s">
        <v>242</v>
      </c>
      <c r="D55" t="s">
        <v>157</v>
      </c>
      <c r="E55" t="s">
        <v>85</v>
      </c>
      <c r="F55" t="s">
        <v>57</v>
      </c>
      <c r="G55" t="s">
        <v>243</v>
      </c>
      <c r="H55" t="s">
        <v>33</v>
      </c>
      <c r="I55" s="2">
        <v>44640</v>
      </c>
      <c r="J55" t="s">
        <v>59</v>
      </c>
      <c r="K55" t="s">
        <v>69</v>
      </c>
      <c r="L55" t="s">
        <v>52</v>
      </c>
      <c r="M55" t="s">
        <v>53</v>
      </c>
      <c r="N55" s="3">
        <v>18839.189999999999</v>
      </c>
      <c r="O55">
        <v>26</v>
      </c>
      <c r="P55" s="3">
        <v>489818.93999999989</v>
      </c>
    </row>
    <row r="56" spans="1:16" x14ac:dyDescent="0.3">
      <c r="A56" t="s">
        <v>244</v>
      </c>
      <c r="B56" s="2">
        <v>45818</v>
      </c>
      <c r="C56" t="s">
        <v>245</v>
      </c>
      <c r="D56" t="s">
        <v>56</v>
      </c>
      <c r="E56" t="s">
        <v>107</v>
      </c>
      <c r="F56" t="s">
        <v>150</v>
      </c>
      <c r="G56" t="s">
        <v>246</v>
      </c>
      <c r="H56" t="s">
        <v>33</v>
      </c>
      <c r="I56" s="2">
        <v>45827</v>
      </c>
      <c r="J56" t="s">
        <v>122</v>
      </c>
      <c r="K56" t="s">
        <v>69</v>
      </c>
      <c r="L56" t="s">
        <v>78</v>
      </c>
      <c r="M56" t="s">
        <v>71</v>
      </c>
      <c r="N56" s="3">
        <v>9761.14</v>
      </c>
      <c r="O56">
        <v>21</v>
      </c>
      <c r="P56" s="3">
        <v>204983.94</v>
      </c>
    </row>
    <row r="57" spans="1:16" x14ac:dyDescent="0.3">
      <c r="A57" t="s">
        <v>247</v>
      </c>
      <c r="B57" s="2">
        <v>45923</v>
      </c>
      <c r="C57" t="s">
        <v>248</v>
      </c>
      <c r="D57" t="s">
        <v>74</v>
      </c>
      <c r="E57" t="s">
        <v>49</v>
      </c>
      <c r="F57" t="s">
        <v>57</v>
      </c>
      <c r="G57" t="s">
        <v>249</v>
      </c>
      <c r="H57" t="s">
        <v>43</v>
      </c>
      <c r="I57" s="2">
        <v>45933</v>
      </c>
      <c r="J57" t="s">
        <v>23</v>
      </c>
      <c r="K57" t="s">
        <v>69</v>
      </c>
      <c r="L57" t="s">
        <v>250</v>
      </c>
      <c r="M57" t="s">
        <v>36</v>
      </c>
      <c r="N57" s="3">
        <v>5112.34</v>
      </c>
      <c r="O57">
        <v>38</v>
      </c>
      <c r="P57" s="3">
        <v>194268.92</v>
      </c>
    </row>
    <row r="58" spans="1:16" x14ac:dyDescent="0.3">
      <c r="A58" t="s">
        <v>251</v>
      </c>
      <c r="B58" s="2">
        <v>44980</v>
      </c>
      <c r="C58" t="s">
        <v>252</v>
      </c>
      <c r="D58" t="s">
        <v>74</v>
      </c>
      <c r="E58" t="s">
        <v>107</v>
      </c>
      <c r="F58" t="s">
        <v>66</v>
      </c>
      <c r="G58" t="s">
        <v>253</v>
      </c>
      <c r="H58" t="s">
        <v>43</v>
      </c>
      <c r="I58" s="2">
        <v>44987</v>
      </c>
      <c r="J58" t="s">
        <v>23</v>
      </c>
      <c r="K58" t="s">
        <v>24</v>
      </c>
      <c r="L58" t="s">
        <v>210</v>
      </c>
      <c r="M58" t="s">
        <v>140</v>
      </c>
      <c r="N58" s="3">
        <v>6503.29</v>
      </c>
      <c r="O58">
        <v>20</v>
      </c>
      <c r="P58" s="3">
        <v>130065.8</v>
      </c>
    </row>
    <row r="59" spans="1:16" x14ac:dyDescent="0.3">
      <c r="A59" t="s">
        <v>254</v>
      </c>
      <c r="B59" s="2">
        <v>45853</v>
      </c>
      <c r="C59" t="s">
        <v>255</v>
      </c>
      <c r="D59" t="s">
        <v>29</v>
      </c>
      <c r="E59" t="s">
        <v>107</v>
      </c>
      <c r="F59" t="s">
        <v>108</v>
      </c>
      <c r="G59" t="s">
        <v>256</v>
      </c>
      <c r="H59" t="s">
        <v>43</v>
      </c>
      <c r="I59" s="2">
        <v>45855</v>
      </c>
      <c r="J59" t="s">
        <v>77</v>
      </c>
      <c r="K59" t="s">
        <v>44</v>
      </c>
      <c r="L59" t="s">
        <v>129</v>
      </c>
      <c r="M59" t="s">
        <v>88</v>
      </c>
      <c r="N59" s="3">
        <v>7586.63</v>
      </c>
      <c r="O59">
        <v>3</v>
      </c>
      <c r="P59" s="3">
        <v>22759.89</v>
      </c>
    </row>
    <row r="60" spans="1:16" x14ac:dyDescent="0.3">
      <c r="A60" t="s">
        <v>257</v>
      </c>
      <c r="B60" s="2">
        <v>44616</v>
      </c>
      <c r="C60" t="s">
        <v>258</v>
      </c>
      <c r="D60" t="s">
        <v>29</v>
      </c>
      <c r="E60" t="s">
        <v>49</v>
      </c>
      <c r="F60" t="s">
        <v>66</v>
      </c>
      <c r="G60" t="s">
        <v>259</v>
      </c>
      <c r="H60" t="s">
        <v>68</v>
      </c>
      <c r="I60" s="2">
        <v>44625</v>
      </c>
      <c r="J60" t="s">
        <v>77</v>
      </c>
      <c r="K60" t="s">
        <v>44</v>
      </c>
      <c r="L60" t="s">
        <v>147</v>
      </c>
      <c r="M60" t="s">
        <v>71</v>
      </c>
      <c r="N60" s="3">
        <v>16655.61</v>
      </c>
      <c r="O60">
        <v>48</v>
      </c>
      <c r="P60" s="3">
        <v>799469.28</v>
      </c>
    </row>
    <row r="61" spans="1:16" x14ac:dyDescent="0.3">
      <c r="A61" t="s">
        <v>260</v>
      </c>
      <c r="B61" s="2">
        <v>45343</v>
      </c>
      <c r="C61" t="s">
        <v>261</v>
      </c>
      <c r="D61" t="s">
        <v>164</v>
      </c>
      <c r="E61" t="s">
        <v>19</v>
      </c>
      <c r="F61" t="s">
        <v>57</v>
      </c>
      <c r="G61" t="s">
        <v>262</v>
      </c>
      <c r="H61" t="s">
        <v>33</v>
      </c>
      <c r="I61" s="2">
        <v>45348</v>
      </c>
      <c r="J61" t="s">
        <v>77</v>
      </c>
      <c r="K61" t="s">
        <v>44</v>
      </c>
      <c r="L61" t="s">
        <v>139</v>
      </c>
      <c r="M61" t="s">
        <v>140</v>
      </c>
      <c r="N61" s="3">
        <v>15558.17</v>
      </c>
      <c r="O61">
        <v>32</v>
      </c>
      <c r="P61" s="3">
        <v>497861.44</v>
      </c>
    </row>
    <row r="62" spans="1:16" x14ac:dyDescent="0.3">
      <c r="A62" t="s">
        <v>263</v>
      </c>
      <c r="B62" s="2">
        <v>44689</v>
      </c>
      <c r="C62" t="s">
        <v>264</v>
      </c>
      <c r="D62" t="s">
        <v>56</v>
      </c>
      <c r="E62" t="s">
        <v>197</v>
      </c>
      <c r="F62" t="s">
        <v>50</v>
      </c>
      <c r="G62" t="s">
        <v>265</v>
      </c>
      <c r="H62" t="s">
        <v>22</v>
      </c>
      <c r="I62" s="2">
        <v>44693</v>
      </c>
      <c r="J62" t="s">
        <v>59</v>
      </c>
      <c r="K62" t="s">
        <v>24</v>
      </c>
      <c r="L62" t="s">
        <v>210</v>
      </c>
      <c r="M62" t="s">
        <v>140</v>
      </c>
      <c r="N62" s="3">
        <v>14452.41</v>
      </c>
      <c r="O62">
        <v>6</v>
      </c>
      <c r="P62" s="3">
        <v>86714.459999999992</v>
      </c>
    </row>
    <row r="63" spans="1:16" x14ac:dyDescent="0.3">
      <c r="A63" t="s">
        <v>266</v>
      </c>
      <c r="B63" s="2">
        <v>45884</v>
      </c>
      <c r="C63" t="s">
        <v>267</v>
      </c>
      <c r="D63" t="s">
        <v>56</v>
      </c>
      <c r="E63" t="s">
        <v>85</v>
      </c>
      <c r="F63" t="s">
        <v>150</v>
      </c>
      <c r="G63" t="s">
        <v>268</v>
      </c>
      <c r="H63" t="s">
        <v>68</v>
      </c>
      <c r="I63" s="2">
        <v>45887</v>
      </c>
      <c r="J63" t="s">
        <v>77</v>
      </c>
      <c r="K63" t="s">
        <v>60</v>
      </c>
      <c r="L63" t="s">
        <v>70</v>
      </c>
      <c r="M63" t="s">
        <v>71</v>
      </c>
      <c r="N63" s="3">
        <v>14316.28</v>
      </c>
      <c r="O63">
        <v>23</v>
      </c>
      <c r="P63" s="3">
        <v>329274.44</v>
      </c>
    </row>
    <row r="64" spans="1:16" x14ac:dyDescent="0.3">
      <c r="A64" t="s">
        <v>269</v>
      </c>
      <c r="B64" s="2">
        <v>45093</v>
      </c>
      <c r="C64" t="s">
        <v>270</v>
      </c>
      <c r="D64" t="s">
        <v>39</v>
      </c>
      <c r="E64" t="s">
        <v>49</v>
      </c>
      <c r="F64" t="s">
        <v>75</v>
      </c>
      <c r="G64" t="s">
        <v>234</v>
      </c>
      <c r="H64" t="s">
        <v>33</v>
      </c>
      <c r="I64" s="2">
        <v>45097</v>
      </c>
      <c r="J64" t="s">
        <v>122</v>
      </c>
      <c r="K64" t="s">
        <v>60</v>
      </c>
      <c r="L64" t="s">
        <v>129</v>
      </c>
      <c r="M64" t="s">
        <v>88</v>
      </c>
      <c r="N64" s="3">
        <v>6733.26</v>
      </c>
      <c r="O64">
        <v>15</v>
      </c>
      <c r="P64" s="3">
        <v>100998.9</v>
      </c>
    </row>
    <row r="65" spans="1:16" x14ac:dyDescent="0.3">
      <c r="A65" t="s">
        <v>271</v>
      </c>
      <c r="B65" s="2">
        <v>45603</v>
      </c>
      <c r="C65" t="s">
        <v>272</v>
      </c>
      <c r="D65" t="s">
        <v>91</v>
      </c>
      <c r="E65" t="s">
        <v>30</v>
      </c>
      <c r="F65" t="s">
        <v>150</v>
      </c>
      <c r="G65" t="s">
        <v>273</v>
      </c>
      <c r="H65" t="s">
        <v>33</v>
      </c>
      <c r="I65" s="2">
        <v>45607</v>
      </c>
      <c r="J65" t="s">
        <v>34</v>
      </c>
      <c r="K65" t="s">
        <v>60</v>
      </c>
      <c r="L65" t="s">
        <v>25</v>
      </c>
      <c r="M65" t="s">
        <v>26</v>
      </c>
      <c r="N65" s="3">
        <v>12613.1</v>
      </c>
      <c r="O65">
        <v>17</v>
      </c>
      <c r="P65" s="3">
        <v>214422.7</v>
      </c>
    </row>
    <row r="66" spans="1:16" x14ac:dyDescent="0.3">
      <c r="A66" t="s">
        <v>274</v>
      </c>
      <c r="B66" s="2">
        <v>44936</v>
      </c>
      <c r="C66" t="s">
        <v>275</v>
      </c>
      <c r="D66" t="s">
        <v>190</v>
      </c>
      <c r="E66" t="s">
        <v>97</v>
      </c>
      <c r="F66" t="s">
        <v>75</v>
      </c>
      <c r="G66" t="s">
        <v>276</v>
      </c>
      <c r="H66" t="s">
        <v>68</v>
      </c>
      <c r="I66" s="2">
        <v>44939</v>
      </c>
      <c r="J66" t="s">
        <v>59</v>
      </c>
      <c r="K66" t="s">
        <v>60</v>
      </c>
      <c r="L66" t="s">
        <v>52</v>
      </c>
      <c r="M66" t="s">
        <v>53</v>
      </c>
      <c r="N66" s="3">
        <v>3087.66</v>
      </c>
      <c r="O66">
        <v>10</v>
      </c>
      <c r="P66" s="3">
        <v>30876.6</v>
      </c>
    </row>
    <row r="67" spans="1:16" x14ac:dyDescent="0.3">
      <c r="A67" t="s">
        <v>277</v>
      </c>
      <c r="B67" s="2">
        <v>45634</v>
      </c>
      <c r="C67" t="s">
        <v>278</v>
      </c>
      <c r="D67" t="s">
        <v>84</v>
      </c>
      <c r="E67" t="s">
        <v>40</v>
      </c>
      <c r="F67" t="s">
        <v>50</v>
      </c>
      <c r="G67" t="s">
        <v>279</v>
      </c>
      <c r="H67" t="s">
        <v>33</v>
      </c>
      <c r="I67" s="2">
        <v>45641</v>
      </c>
      <c r="J67" t="s">
        <v>59</v>
      </c>
      <c r="K67" t="s">
        <v>44</v>
      </c>
      <c r="L67" t="s">
        <v>78</v>
      </c>
      <c r="M67" t="s">
        <v>71</v>
      </c>
      <c r="N67" s="3">
        <v>9728.93</v>
      </c>
      <c r="O67">
        <v>17</v>
      </c>
      <c r="P67" s="3">
        <v>165391.81</v>
      </c>
    </row>
    <row r="68" spans="1:16" x14ac:dyDescent="0.3">
      <c r="A68" t="s">
        <v>280</v>
      </c>
      <c r="B68" s="2">
        <v>44798</v>
      </c>
      <c r="C68" t="s">
        <v>281</v>
      </c>
      <c r="D68" t="s">
        <v>91</v>
      </c>
      <c r="E68" t="s">
        <v>97</v>
      </c>
      <c r="F68" t="s">
        <v>150</v>
      </c>
      <c r="G68" t="s">
        <v>282</v>
      </c>
      <c r="H68" t="s">
        <v>43</v>
      </c>
      <c r="I68" s="2">
        <v>44806</v>
      </c>
      <c r="J68" t="s">
        <v>59</v>
      </c>
      <c r="K68" t="s">
        <v>24</v>
      </c>
      <c r="L68" t="s">
        <v>110</v>
      </c>
      <c r="M68" t="s">
        <v>111</v>
      </c>
      <c r="N68" s="3">
        <v>4549.07</v>
      </c>
      <c r="O68">
        <v>20</v>
      </c>
      <c r="P68" s="3">
        <v>90981.4</v>
      </c>
    </row>
    <row r="69" spans="1:16" x14ac:dyDescent="0.3">
      <c r="A69" t="s">
        <v>283</v>
      </c>
      <c r="B69" s="2">
        <v>44970</v>
      </c>
      <c r="C69" t="s">
        <v>284</v>
      </c>
      <c r="D69" t="s">
        <v>39</v>
      </c>
      <c r="E69" t="s">
        <v>65</v>
      </c>
      <c r="F69" t="s">
        <v>66</v>
      </c>
      <c r="G69" t="s">
        <v>285</v>
      </c>
      <c r="H69" t="s">
        <v>22</v>
      </c>
      <c r="I69" s="2">
        <v>44980</v>
      </c>
      <c r="J69" t="s">
        <v>59</v>
      </c>
      <c r="K69" t="s">
        <v>60</v>
      </c>
      <c r="L69" t="s">
        <v>129</v>
      </c>
      <c r="M69" t="s">
        <v>88</v>
      </c>
      <c r="N69" s="3">
        <v>7986.61</v>
      </c>
      <c r="O69">
        <v>20</v>
      </c>
      <c r="P69" s="3">
        <v>159732.20000000001</v>
      </c>
    </row>
    <row r="70" spans="1:16" x14ac:dyDescent="0.3">
      <c r="A70" t="s">
        <v>286</v>
      </c>
      <c r="B70" s="2">
        <v>45592</v>
      </c>
      <c r="C70" t="s">
        <v>287</v>
      </c>
      <c r="D70" t="s">
        <v>157</v>
      </c>
      <c r="E70" t="s">
        <v>19</v>
      </c>
      <c r="F70" t="s">
        <v>20</v>
      </c>
      <c r="G70" t="s">
        <v>288</v>
      </c>
      <c r="H70" t="s">
        <v>68</v>
      </c>
      <c r="I70" s="2">
        <v>45599</v>
      </c>
      <c r="J70" t="s">
        <v>34</v>
      </c>
      <c r="K70" t="s">
        <v>60</v>
      </c>
      <c r="L70" t="s">
        <v>139</v>
      </c>
      <c r="M70" t="s">
        <v>140</v>
      </c>
      <c r="N70" s="3">
        <v>16719.87</v>
      </c>
      <c r="O70">
        <v>5</v>
      </c>
      <c r="P70" s="3">
        <v>83599.349999999991</v>
      </c>
    </row>
    <row r="71" spans="1:16" x14ac:dyDescent="0.3">
      <c r="A71" t="s">
        <v>289</v>
      </c>
      <c r="B71" s="2">
        <v>45906</v>
      </c>
      <c r="C71" t="s">
        <v>290</v>
      </c>
      <c r="D71" t="s">
        <v>29</v>
      </c>
      <c r="E71" t="s">
        <v>114</v>
      </c>
      <c r="F71" t="s">
        <v>150</v>
      </c>
      <c r="G71" t="s">
        <v>291</v>
      </c>
      <c r="H71" t="s">
        <v>33</v>
      </c>
      <c r="I71" s="2">
        <v>45912</v>
      </c>
      <c r="J71" t="s">
        <v>59</v>
      </c>
      <c r="K71" t="s">
        <v>24</v>
      </c>
      <c r="L71" t="s">
        <v>147</v>
      </c>
      <c r="M71" t="s">
        <v>71</v>
      </c>
      <c r="N71" s="3">
        <v>14206.88</v>
      </c>
      <c r="O71">
        <v>9</v>
      </c>
      <c r="P71" s="3">
        <v>127861.92</v>
      </c>
    </row>
    <row r="72" spans="1:16" x14ac:dyDescent="0.3">
      <c r="A72" t="s">
        <v>292</v>
      </c>
      <c r="B72" s="2">
        <v>45601</v>
      </c>
      <c r="C72" t="s">
        <v>293</v>
      </c>
      <c r="D72" t="s">
        <v>29</v>
      </c>
      <c r="E72" t="s">
        <v>40</v>
      </c>
      <c r="F72" t="s">
        <v>75</v>
      </c>
      <c r="G72" t="s">
        <v>294</v>
      </c>
      <c r="H72" t="s">
        <v>43</v>
      </c>
      <c r="I72" s="2">
        <v>45603</v>
      </c>
      <c r="J72" t="s">
        <v>59</v>
      </c>
      <c r="K72" t="s">
        <v>44</v>
      </c>
      <c r="L72" t="s">
        <v>139</v>
      </c>
      <c r="M72" t="s">
        <v>140</v>
      </c>
      <c r="N72" s="3">
        <v>15093.62</v>
      </c>
      <c r="O72">
        <v>6</v>
      </c>
      <c r="P72" s="3">
        <v>90561.72</v>
      </c>
    </row>
    <row r="73" spans="1:16" x14ac:dyDescent="0.3">
      <c r="A73" t="s">
        <v>295</v>
      </c>
      <c r="B73" s="2">
        <v>45152</v>
      </c>
      <c r="C73" t="s">
        <v>296</v>
      </c>
      <c r="D73" t="s">
        <v>74</v>
      </c>
      <c r="E73" t="s">
        <v>85</v>
      </c>
      <c r="F73" t="s">
        <v>66</v>
      </c>
      <c r="G73" t="s">
        <v>297</v>
      </c>
      <c r="H73" t="s">
        <v>43</v>
      </c>
      <c r="I73" s="2">
        <v>45154</v>
      </c>
      <c r="J73" t="s">
        <v>122</v>
      </c>
      <c r="K73" t="s">
        <v>44</v>
      </c>
      <c r="L73" t="s">
        <v>93</v>
      </c>
      <c r="M73" t="s">
        <v>94</v>
      </c>
      <c r="N73" s="3">
        <v>4386.51</v>
      </c>
      <c r="O73">
        <v>38</v>
      </c>
      <c r="P73" s="3">
        <v>166687.38</v>
      </c>
    </row>
    <row r="74" spans="1:16" x14ac:dyDescent="0.3">
      <c r="A74" t="s">
        <v>298</v>
      </c>
      <c r="B74" s="2">
        <v>45872</v>
      </c>
      <c r="C74" t="s">
        <v>299</v>
      </c>
      <c r="D74" t="s">
        <v>29</v>
      </c>
      <c r="E74" t="s">
        <v>197</v>
      </c>
      <c r="F74" t="s">
        <v>57</v>
      </c>
      <c r="G74" t="s">
        <v>300</v>
      </c>
      <c r="H74" t="s">
        <v>43</v>
      </c>
      <c r="I74" s="2">
        <v>45881</v>
      </c>
      <c r="J74" t="s">
        <v>59</v>
      </c>
      <c r="K74" t="s">
        <v>69</v>
      </c>
      <c r="L74" t="s">
        <v>129</v>
      </c>
      <c r="M74" t="s">
        <v>88</v>
      </c>
      <c r="N74" s="3">
        <v>8726.19</v>
      </c>
      <c r="O74">
        <v>38</v>
      </c>
      <c r="P74" s="3">
        <v>331595.21999999997</v>
      </c>
    </row>
    <row r="75" spans="1:16" x14ac:dyDescent="0.3">
      <c r="A75" t="s">
        <v>301</v>
      </c>
      <c r="B75" s="2">
        <v>45350</v>
      </c>
      <c r="C75" t="s">
        <v>302</v>
      </c>
      <c r="D75" t="s">
        <v>18</v>
      </c>
      <c r="E75" t="s">
        <v>30</v>
      </c>
      <c r="F75" t="s">
        <v>66</v>
      </c>
      <c r="G75" t="s">
        <v>303</v>
      </c>
      <c r="H75" t="s">
        <v>68</v>
      </c>
      <c r="I75" s="2">
        <v>45352</v>
      </c>
      <c r="J75" t="s">
        <v>23</v>
      </c>
      <c r="K75" t="s">
        <v>44</v>
      </c>
      <c r="L75" t="s">
        <v>129</v>
      </c>
      <c r="M75" t="s">
        <v>88</v>
      </c>
      <c r="N75" s="3">
        <v>13555.97</v>
      </c>
      <c r="O75">
        <v>37</v>
      </c>
      <c r="P75" s="3">
        <v>501570.89</v>
      </c>
    </row>
    <row r="76" spans="1:16" x14ac:dyDescent="0.3">
      <c r="A76" t="s">
        <v>304</v>
      </c>
      <c r="B76" s="2">
        <v>45737</v>
      </c>
      <c r="C76" t="s">
        <v>305</v>
      </c>
      <c r="D76" t="s">
        <v>29</v>
      </c>
      <c r="E76" t="s">
        <v>40</v>
      </c>
      <c r="F76" t="s">
        <v>41</v>
      </c>
      <c r="G76" t="s">
        <v>306</v>
      </c>
      <c r="H76" t="s">
        <v>43</v>
      </c>
      <c r="I76" s="2">
        <v>45742</v>
      </c>
      <c r="J76" t="s">
        <v>77</v>
      </c>
      <c r="K76" t="s">
        <v>44</v>
      </c>
      <c r="L76" t="s">
        <v>110</v>
      </c>
      <c r="M76" t="s">
        <v>111</v>
      </c>
      <c r="N76" s="3">
        <v>8538.67</v>
      </c>
      <c r="O76">
        <v>32</v>
      </c>
      <c r="P76" s="3">
        <v>273237.44</v>
      </c>
    </row>
    <row r="77" spans="1:16" x14ac:dyDescent="0.3">
      <c r="A77" t="s">
        <v>307</v>
      </c>
      <c r="B77" s="2">
        <v>45070</v>
      </c>
      <c r="C77" t="s">
        <v>308</v>
      </c>
      <c r="D77" t="s">
        <v>39</v>
      </c>
      <c r="E77" t="s">
        <v>107</v>
      </c>
      <c r="F77" t="s">
        <v>108</v>
      </c>
      <c r="G77" t="s">
        <v>309</v>
      </c>
      <c r="H77" t="s">
        <v>33</v>
      </c>
      <c r="I77" s="2">
        <v>45077</v>
      </c>
      <c r="J77" t="s">
        <v>77</v>
      </c>
      <c r="K77" t="s">
        <v>44</v>
      </c>
      <c r="L77" t="s">
        <v>35</v>
      </c>
      <c r="M77" t="s">
        <v>36</v>
      </c>
      <c r="N77" s="3">
        <v>5314.86</v>
      </c>
      <c r="O77">
        <v>16</v>
      </c>
      <c r="P77" s="3">
        <v>85037.759999999995</v>
      </c>
    </row>
    <row r="78" spans="1:16" x14ac:dyDescent="0.3">
      <c r="A78" t="s">
        <v>310</v>
      </c>
      <c r="B78" s="2">
        <v>44975</v>
      </c>
      <c r="C78" t="s">
        <v>311</v>
      </c>
      <c r="D78" t="s">
        <v>84</v>
      </c>
      <c r="E78" t="s">
        <v>197</v>
      </c>
      <c r="F78" t="s">
        <v>75</v>
      </c>
      <c r="G78" t="s">
        <v>312</v>
      </c>
      <c r="H78" t="s">
        <v>22</v>
      </c>
      <c r="I78" s="2">
        <v>44980</v>
      </c>
      <c r="J78" t="s">
        <v>59</v>
      </c>
      <c r="K78" t="s">
        <v>44</v>
      </c>
      <c r="L78" t="s">
        <v>210</v>
      </c>
      <c r="M78" t="s">
        <v>140</v>
      </c>
      <c r="N78" s="3">
        <v>14472.59</v>
      </c>
      <c r="O78">
        <v>10</v>
      </c>
      <c r="P78" s="3">
        <v>144725.9</v>
      </c>
    </row>
    <row r="79" spans="1:16" x14ac:dyDescent="0.3">
      <c r="A79" t="s">
        <v>313</v>
      </c>
      <c r="B79" s="2">
        <v>45277</v>
      </c>
      <c r="C79" t="s">
        <v>314</v>
      </c>
      <c r="D79" t="s">
        <v>56</v>
      </c>
      <c r="E79" t="s">
        <v>85</v>
      </c>
      <c r="F79" t="s">
        <v>41</v>
      </c>
      <c r="G79" t="s">
        <v>315</v>
      </c>
      <c r="H79" t="s">
        <v>68</v>
      </c>
      <c r="I79" s="2">
        <v>45278</v>
      </c>
      <c r="J79" t="s">
        <v>59</v>
      </c>
      <c r="K79" t="s">
        <v>24</v>
      </c>
      <c r="L79" t="s">
        <v>35</v>
      </c>
      <c r="M79" t="s">
        <v>36</v>
      </c>
      <c r="N79" s="3">
        <v>2545.31</v>
      </c>
      <c r="O79">
        <v>15</v>
      </c>
      <c r="P79" s="3">
        <v>38179.65</v>
      </c>
    </row>
    <row r="80" spans="1:16" x14ac:dyDescent="0.3">
      <c r="A80" t="s">
        <v>316</v>
      </c>
      <c r="B80" s="2">
        <v>44845</v>
      </c>
      <c r="C80" t="s">
        <v>317</v>
      </c>
      <c r="D80" t="s">
        <v>74</v>
      </c>
      <c r="E80" t="s">
        <v>19</v>
      </c>
      <c r="F80" t="s">
        <v>150</v>
      </c>
      <c r="G80" t="s">
        <v>318</v>
      </c>
      <c r="H80" t="s">
        <v>43</v>
      </c>
      <c r="I80" s="2">
        <v>44851</v>
      </c>
      <c r="J80" t="s">
        <v>34</v>
      </c>
      <c r="K80" t="s">
        <v>69</v>
      </c>
      <c r="L80" t="s">
        <v>52</v>
      </c>
      <c r="M80" t="s">
        <v>53</v>
      </c>
      <c r="N80" s="3">
        <v>10928.5</v>
      </c>
      <c r="O80">
        <v>20</v>
      </c>
      <c r="P80" s="3">
        <v>218570</v>
      </c>
    </row>
    <row r="81" spans="1:16" x14ac:dyDescent="0.3">
      <c r="A81" t="s">
        <v>319</v>
      </c>
      <c r="B81" s="2">
        <v>45871</v>
      </c>
      <c r="C81" t="s">
        <v>320</v>
      </c>
      <c r="D81" t="s">
        <v>39</v>
      </c>
      <c r="E81" t="s">
        <v>197</v>
      </c>
      <c r="F81" t="s">
        <v>108</v>
      </c>
      <c r="G81" t="s">
        <v>321</v>
      </c>
      <c r="H81" t="s">
        <v>22</v>
      </c>
      <c r="I81" s="2">
        <v>45872</v>
      </c>
      <c r="J81" t="s">
        <v>34</v>
      </c>
      <c r="K81" t="s">
        <v>69</v>
      </c>
      <c r="L81" t="s">
        <v>25</v>
      </c>
      <c r="M81" t="s">
        <v>26</v>
      </c>
      <c r="N81" s="3">
        <v>3298.04</v>
      </c>
      <c r="O81">
        <v>18</v>
      </c>
      <c r="P81" s="3">
        <v>59364.72</v>
      </c>
    </row>
    <row r="82" spans="1:16" x14ac:dyDescent="0.3">
      <c r="A82" t="s">
        <v>322</v>
      </c>
      <c r="B82" s="2">
        <v>44687</v>
      </c>
      <c r="C82" t="s">
        <v>323</v>
      </c>
      <c r="D82" t="s">
        <v>29</v>
      </c>
      <c r="E82" t="s">
        <v>40</v>
      </c>
      <c r="F82" t="s">
        <v>57</v>
      </c>
      <c r="G82" t="s">
        <v>288</v>
      </c>
      <c r="H82" t="s">
        <v>43</v>
      </c>
      <c r="I82" s="2">
        <v>44694</v>
      </c>
      <c r="J82" t="s">
        <v>122</v>
      </c>
      <c r="K82" t="s">
        <v>60</v>
      </c>
      <c r="L82" t="s">
        <v>35</v>
      </c>
      <c r="M82" t="s">
        <v>36</v>
      </c>
      <c r="N82" s="3">
        <v>14825.86</v>
      </c>
      <c r="O82">
        <v>10</v>
      </c>
      <c r="P82" s="3">
        <v>148258.6</v>
      </c>
    </row>
    <row r="83" spans="1:16" x14ac:dyDescent="0.3">
      <c r="A83" t="s">
        <v>324</v>
      </c>
      <c r="B83" s="2">
        <v>44944</v>
      </c>
      <c r="C83" t="s">
        <v>325</v>
      </c>
      <c r="D83" t="s">
        <v>164</v>
      </c>
      <c r="E83" t="s">
        <v>197</v>
      </c>
      <c r="F83" t="s">
        <v>31</v>
      </c>
      <c r="G83" t="s">
        <v>326</v>
      </c>
      <c r="H83" t="s">
        <v>22</v>
      </c>
      <c r="I83" s="2">
        <v>44953</v>
      </c>
      <c r="J83" t="s">
        <v>34</v>
      </c>
      <c r="K83" t="s">
        <v>69</v>
      </c>
      <c r="L83" t="s">
        <v>35</v>
      </c>
      <c r="M83" t="s">
        <v>36</v>
      </c>
      <c r="N83" s="3">
        <v>10324.280000000001</v>
      </c>
      <c r="O83">
        <v>27</v>
      </c>
      <c r="P83" s="3">
        <v>278755.56</v>
      </c>
    </row>
    <row r="84" spans="1:16" x14ac:dyDescent="0.3">
      <c r="A84" t="s">
        <v>327</v>
      </c>
      <c r="B84" s="2">
        <v>45093</v>
      </c>
      <c r="C84" t="s">
        <v>328</v>
      </c>
      <c r="D84" t="s">
        <v>91</v>
      </c>
      <c r="E84" t="s">
        <v>107</v>
      </c>
      <c r="F84" t="s">
        <v>50</v>
      </c>
      <c r="G84" t="s">
        <v>329</v>
      </c>
      <c r="H84" t="s">
        <v>22</v>
      </c>
      <c r="I84" s="2">
        <v>45102</v>
      </c>
      <c r="J84" t="s">
        <v>77</v>
      </c>
      <c r="K84" t="s">
        <v>44</v>
      </c>
      <c r="L84" t="s">
        <v>210</v>
      </c>
      <c r="M84" t="s">
        <v>140</v>
      </c>
      <c r="N84" s="3">
        <v>3285.64</v>
      </c>
      <c r="O84">
        <v>38</v>
      </c>
      <c r="P84" s="3">
        <v>124854.32</v>
      </c>
    </row>
    <row r="85" spans="1:16" x14ac:dyDescent="0.3">
      <c r="A85" t="s">
        <v>330</v>
      </c>
      <c r="B85" s="2">
        <v>44735</v>
      </c>
      <c r="C85" t="s">
        <v>331</v>
      </c>
      <c r="D85" t="s">
        <v>91</v>
      </c>
      <c r="E85" t="s">
        <v>85</v>
      </c>
      <c r="F85" t="s">
        <v>31</v>
      </c>
      <c r="G85" t="s">
        <v>332</v>
      </c>
      <c r="H85" t="s">
        <v>33</v>
      </c>
      <c r="I85" s="2">
        <v>44745</v>
      </c>
      <c r="J85" t="s">
        <v>34</v>
      </c>
      <c r="K85" t="s">
        <v>24</v>
      </c>
      <c r="L85" t="s">
        <v>250</v>
      </c>
      <c r="M85" t="s">
        <v>36</v>
      </c>
      <c r="N85" s="3">
        <v>16967.97</v>
      </c>
      <c r="O85">
        <v>7</v>
      </c>
      <c r="P85" s="3">
        <v>118775.79</v>
      </c>
    </row>
    <row r="86" spans="1:16" x14ac:dyDescent="0.3">
      <c r="A86" t="s">
        <v>333</v>
      </c>
      <c r="B86" s="2">
        <v>45287</v>
      </c>
      <c r="C86" t="s">
        <v>334</v>
      </c>
      <c r="D86" t="s">
        <v>157</v>
      </c>
      <c r="E86" t="s">
        <v>40</v>
      </c>
      <c r="F86" t="s">
        <v>31</v>
      </c>
      <c r="G86" t="s">
        <v>335</v>
      </c>
      <c r="H86" t="s">
        <v>68</v>
      </c>
      <c r="I86" s="2">
        <v>45291</v>
      </c>
      <c r="J86" t="s">
        <v>23</v>
      </c>
      <c r="K86" t="s">
        <v>69</v>
      </c>
      <c r="L86" t="s">
        <v>78</v>
      </c>
      <c r="M86" t="s">
        <v>71</v>
      </c>
      <c r="N86" s="3">
        <v>10436.530000000001</v>
      </c>
      <c r="O86">
        <v>45</v>
      </c>
      <c r="P86" s="3">
        <v>469643.85</v>
      </c>
    </row>
    <row r="87" spans="1:16" x14ac:dyDescent="0.3">
      <c r="A87" t="s">
        <v>336</v>
      </c>
      <c r="B87" s="2">
        <v>44906</v>
      </c>
      <c r="C87" t="s">
        <v>337</v>
      </c>
      <c r="D87" t="s">
        <v>164</v>
      </c>
      <c r="E87" t="s">
        <v>19</v>
      </c>
      <c r="F87" t="s">
        <v>41</v>
      </c>
      <c r="G87" t="s">
        <v>300</v>
      </c>
      <c r="H87" t="s">
        <v>22</v>
      </c>
      <c r="I87" s="2">
        <v>44911</v>
      </c>
      <c r="J87" t="s">
        <v>59</v>
      </c>
      <c r="K87" t="s">
        <v>60</v>
      </c>
      <c r="L87" t="s">
        <v>35</v>
      </c>
      <c r="M87" t="s">
        <v>36</v>
      </c>
      <c r="N87" s="3">
        <v>5586.87</v>
      </c>
      <c r="O87">
        <v>5</v>
      </c>
      <c r="P87" s="3">
        <v>27934.35</v>
      </c>
    </row>
    <row r="88" spans="1:16" x14ac:dyDescent="0.3">
      <c r="A88" t="s">
        <v>338</v>
      </c>
      <c r="B88" s="2">
        <v>45344</v>
      </c>
      <c r="C88" t="s">
        <v>339</v>
      </c>
      <c r="D88" t="s">
        <v>190</v>
      </c>
      <c r="E88" t="s">
        <v>197</v>
      </c>
      <c r="F88" t="s">
        <v>108</v>
      </c>
      <c r="G88" t="s">
        <v>340</v>
      </c>
      <c r="H88" t="s">
        <v>68</v>
      </c>
      <c r="I88" s="2">
        <v>45354</v>
      </c>
      <c r="J88" t="s">
        <v>77</v>
      </c>
      <c r="K88" t="s">
        <v>44</v>
      </c>
      <c r="L88" t="s">
        <v>87</v>
      </c>
      <c r="M88" t="s">
        <v>88</v>
      </c>
      <c r="N88" s="3">
        <v>15815.38</v>
      </c>
      <c r="O88">
        <v>46</v>
      </c>
      <c r="P88" s="3">
        <v>727507.48</v>
      </c>
    </row>
    <row r="89" spans="1:16" x14ac:dyDescent="0.3">
      <c r="A89" t="s">
        <v>341</v>
      </c>
      <c r="B89" s="2">
        <v>44879</v>
      </c>
      <c r="C89" t="s">
        <v>342</v>
      </c>
      <c r="D89" t="s">
        <v>29</v>
      </c>
      <c r="E89" t="s">
        <v>85</v>
      </c>
      <c r="F89" t="s">
        <v>108</v>
      </c>
      <c r="G89" t="s">
        <v>343</v>
      </c>
      <c r="H89" t="s">
        <v>68</v>
      </c>
      <c r="I89" s="2">
        <v>44881</v>
      </c>
      <c r="J89" t="s">
        <v>23</v>
      </c>
      <c r="K89" t="s">
        <v>69</v>
      </c>
      <c r="L89" t="s">
        <v>147</v>
      </c>
      <c r="M89" t="s">
        <v>71</v>
      </c>
      <c r="N89" s="3">
        <v>16624.5</v>
      </c>
      <c r="O89">
        <v>5</v>
      </c>
      <c r="P89" s="3">
        <v>83122.5</v>
      </c>
    </row>
    <row r="90" spans="1:16" x14ac:dyDescent="0.3">
      <c r="A90" t="s">
        <v>344</v>
      </c>
      <c r="B90" s="2">
        <v>46002</v>
      </c>
      <c r="C90" t="s">
        <v>345</v>
      </c>
      <c r="D90" t="s">
        <v>39</v>
      </c>
      <c r="E90" t="s">
        <v>40</v>
      </c>
      <c r="F90" t="s">
        <v>168</v>
      </c>
      <c r="G90" t="s">
        <v>346</v>
      </c>
      <c r="H90" t="s">
        <v>68</v>
      </c>
      <c r="I90" s="2">
        <v>46004</v>
      </c>
      <c r="J90" t="s">
        <v>122</v>
      </c>
      <c r="K90" t="s">
        <v>44</v>
      </c>
      <c r="L90" t="s">
        <v>139</v>
      </c>
      <c r="M90" t="s">
        <v>140</v>
      </c>
      <c r="N90" s="3">
        <v>11664.65</v>
      </c>
      <c r="O90">
        <v>21</v>
      </c>
      <c r="P90" s="3">
        <v>244957.65</v>
      </c>
    </row>
    <row r="91" spans="1:16" x14ac:dyDescent="0.3">
      <c r="A91" t="s">
        <v>347</v>
      </c>
      <c r="B91" s="2">
        <v>45444</v>
      </c>
      <c r="C91" t="s">
        <v>348</v>
      </c>
      <c r="D91" t="s">
        <v>29</v>
      </c>
      <c r="E91" t="s">
        <v>19</v>
      </c>
      <c r="F91" t="s">
        <v>20</v>
      </c>
      <c r="G91" t="s">
        <v>349</v>
      </c>
      <c r="H91" t="s">
        <v>43</v>
      </c>
      <c r="I91" s="2">
        <v>45448</v>
      </c>
      <c r="J91" t="s">
        <v>34</v>
      </c>
      <c r="K91" t="s">
        <v>24</v>
      </c>
      <c r="L91" t="s">
        <v>61</v>
      </c>
      <c r="M91" t="s">
        <v>62</v>
      </c>
      <c r="N91" s="3">
        <v>17893.64</v>
      </c>
      <c r="O91">
        <v>13</v>
      </c>
      <c r="P91" s="3">
        <v>232617.32</v>
      </c>
    </row>
    <row r="92" spans="1:16" x14ac:dyDescent="0.3">
      <c r="A92" t="s">
        <v>350</v>
      </c>
      <c r="B92" s="2">
        <v>45374</v>
      </c>
      <c r="C92" t="s">
        <v>351</v>
      </c>
      <c r="D92" t="s">
        <v>157</v>
      </c>
      <c r="E92" t="s">
        <v>85</v>
      </c>
      <c r="F92" t="s">
        <v>50</v>
      </c>
      <c r="G92" t="s">
        <v>352</v>
      </c>
      <c r="H92" t="s">
        <v>22</v>
      </c>
      <c r="I92" s="2">
        <v>45381</v>
      </c>
      <c r="J92" t="s">
        <v>59</v>
      </c>
      <c r="K92" t="s">
        <v>44</v>
      </c>
      <c r="L92" t="s">
        <v>45</v>
      </c>
      <c r="M92" t="s">
        <v>46</v>
      </c>
      <c r="N92" s="3">
        <v>6372.13</v>
      </c>
      <c r="O92">
        <v>6</v>
      </c>
      <c r="P92" s="3">
        <v>38232.78</v>
      </c>
    </row>
    <row r="93" spans="1:16" x14ac:dyDescent="0.3">
      <c r="A93" t="s">
        <v>353</v>
      </c>
      <c r="B93" s="2">
        <v>45489</v>
      </c>
      <c r="C93" t="s">
        <v>354</v>
      </c>
      <c r="D93" t="s">
        <v>91</v>
      </c>
      <c r="E93" t="s">
        <v>19</v>
      </c>
      <c r="F93" t="s">
        <v>66</v>
      </c>
      <c r="G93" t="s">
        <v>355</v>
      </c>
      <c r="H93" t="s">
        <v>68</v>
      </c>
      <c r="I93" s="2">
        <v>45499</v>
      </c>
      <c r="J93" t="s">
        <v>122</v>
      </c>
      <c r="K93" t="s">
        <v>44</v>
      </c>
      <c r="L93" t="s">
        <v>61</v>
      </c>
      <c r="M93" t="s">
        <v>62</v>
      </c>
      <c r="N93" s="3">
        <v>17597.72</v>
      </c>
      <c r="O93">
        <v>26</v>
      </c>
      <c r="P93" s="3">
        <v>457540.72</v>
      </c>
    </row>
    <row r="94" spans="1:16" x14ac:dyDescent="0.3">
      <c r="A94" t="s">
        <v>356</v>
      </c>
      <c r="B94" s="2">
        <v>44991</v>
      </c>
      <c r="C94" t="s">
        <v>357</v>
      </c>
      <c r="D94" t="s">
        <v>164</v>
      </c>
      <c r="E94" t="s">
        <v>30</v>
      </c>
      <c r="F94" t="s">
        <v>50</v>
      </c>
      <c r="G94" t="s">
        <v>358</v>
      </c>
      <c r="H94" t="s">
        <v>33</v>
      </c>
      <c r="I94" s="2">
        <v>44997</v>
      </c>
      <c r="J94" t="s">
        <v>34</v>
      </c>
      <c r="K94" t="s">
        <v>69</v>
      </c>
      <c r="L94" t="s">
        <v>70</v>
      </c>
      <c r="M94" t="s">
        <v>71</v>
      </c>
      <c r="N94" s="3">
        <v>10091.33</v>
      </c>
      <c r="O94">
        <v>39</v>
      </c>
      <c r="P94" s="3">
        <v>393561.87</v>
      </c>
    </row>
    <row r="95" spans="1:16" x14ac:dyDescent="0.3">
      <c r="A95" t="s">
        <v>359</v>
      </c>
      <c r="B95" s="2">
        <v>45347</v>
      </c>
      <c r="C95" t="s">
        <v>360</v>
      </c>
      <c r="D95" t="s">
        <v>84</v>
      </c>
      <c r="E95" t="s">
        <v>114</v>
      </c>
      <c r="F95" t="s">
        <v>168</v>
      </c>
      <c r="G95" t="s">
        <v>361</v>
      </c>
      <c r="H95" t="s">
        <v>68</v>
      </c>
      <c r="I95" s="2">
        <v>45352</v>
      </c>
      <c r="J95" t="s">
        <v>77</v>
      </c>
      <c r="K95" t="s">
        <v>60</v>
      </c>
      <c r="L95" t="s">
        <v>147</v>
      </c>
      <c r="M95" t="s">
        <v>71</v>
      </c>
      <c r="N95" s="3">
        <v>14476.39</v>
      </c>
      <c r="O95">
        <v>10</v>
      </c>
      <c r="P95" s="3">
        <v>144763.9</v>
      </c>
    </row>
    <row r="96" spans="1:16" x14ac:dyDescent="0.3">
      <c r="A96" t="s">
        <v>362</v>
      </c>
      <c r="B96" s="2">
        <v>45755</v>
      </c>
      <c r="C96" t="s">
        <v>363</v>
      </c>
      <c r="D96" t="s">
        <v>74</v>
      </c>
      <c r="E96" t="s">
        <v>114</v>
      </c>
      <c r="F96" t="s">
        <v>20</v>
      </c>
      <c r="G96" t="s">
        <v>364</v>
      </c>
      <c r="H96" t="s">
        <v>68</v>
      </c>
      <c r="I96" s="2">
        <v>45756</v>
      </c>
      <c r="J96" t="s">
        <v>122</v>
      </c>
      <c r="K96" t="s">
        <v>60</v>
      </c>
      <c r="L96" t="s">
        <v>70</v>
      </c>
      <c r="M96" t="s">
        <v>71</v>
      </c>
      <c r="N96" s="3">
        <v>10422.370000000001</v>
      </c>
      <c r="O96">
        <v>40</v>
      </c>
      <c r="P96" s="3">
        <v>416894.8</v>
      </c>
    </row>
    <row r="97" spans="1:16" x14ac:dyDescent="0.3">
      <c r="A97" t="s">
        <v>365</v>
      </c>
      <c r="B97" s="2">
        <v>45410</v>
      </c>
      <c r="C97" t="s">
        <v>366</v>
      </c>
      <c r="D97" t="s">
        <v>190</v>
      </c>
      <c r="E97" t="s">
        <v>97</v>
      </c>
      <c r="F97" t="s">
        <v>31</v>
      </c>
      <c r="G97" t="s">
        <v>367</v>
      </c>
      <c r="H97" t="s">
        <v>22</v>
      </c>
      <c r="I97" s="2">
        <v>45420</v>
      </c>
      <c r="J97" t="s">
        <v>122</v>
      </c>
      <c r="K97" t="s">
        <v>69</v>
      </c>
      <c r="L97" t="s">
        <v>210</v>
      </c>
      <c r="M97" t="s">
        <v>140</v>
      </c>
      <c r="N97" s="3">
        <v>7219.42</v>
      </c>
      <c r="O97">
        <v>8</v>
      </c>
      <c r="P97" s="3">
        <v>57755.360000000001</v>
      </c>
    </row>
    <row r="98" spans="1:16" x14ac:dyDescent="0.3">
      <c r="A98" t="s">
        <v>368</v>
      </c>
      <c r="B98" s="2">
        <v>45241</v>
      </c>
      <c r="C98" t="s">
        <v>369</v>
      </c>
      <c r="D98" t="s">
        <v>157</v>
      </c>
      <c r="E98" t="s">
        <v>197</v>
      </c>
      <c r="F98" t="s">
        <v>41</v>
      </c>
      <c r="G98" t="s">
        <v>370</v>
      </c>
      <c r="H98" t="s">
        <v>43</v>
      </c>
      <c r="I98" s="2">
        <v>45251</v>
      </c>
      <c r="J98" t="s">
        <v>77</v>
      </c>
      <c r="K98" t="s">
        <v>24</v>
      </c>
      <c r="L98" t="s">
        <v>70</v>
      </c>
      <c r="M98" t="s">
        <v>71</v>
      </c>
      <c r="N98" s="3">
        <v>16735.27</v>
      </c>
      <c r="O98">
        <v>34</v>
      </c>
      <c r="P98" s="3">
        <v>568999.18000000005</v>
      </c>
    </row>
    <row r="99" spans="1:16" x14ac:dyDescent="0.3">
      <c r="A99" t="s">
        <v>371</v>
      </c>
      <c r="B99" s="2">
        <v>44780</v>
      </c>
      <c r="C99" t="s">
        <v>372</v>
      </c>
      <c r="D99" t="s">
        <v>74</v>
      </c>
      <c r="E99" t="s">
        <v>40</v>
      </c>
      <c r="F99" t="s">
        <v>168</v>
      </c>
      <c r="G99" t="s">
        <v>373</v>
      </c>
      <c r="H99" t="s">
        <v>68</v>
      </c>
      <c r="I99" s="2">
        <v>44786</v>
      </c>
      <c r="J99" t="s">
        <v>122</v>
      </c>
      <c r="K99" t="s">
        <v>44</v>
      </c>
      <c r="L99" t="s">
        <v>147</v>
      </c>
      <c r="M99" t="s">
        <v>71</v>
      </c>
      <c r="N99" s="3">
        <v>6943.03</v>
      </c>
      <c r="O99">
        <v>43</v>
      </c>
      <c r="P99" s="3">
        <v>298550.28999999998</v>
      </c>
    </row>
    <row r="100" spans="1:16" x14ac:dyDescent="0.3">
      <c r="A100" t="s">
        <v>374</v>
      </c>
      <c r="B100" s="2">
        <v>45170</v>
      </c>
      <c r="C100" t="s">
        <v>375</v>
      </c>
      <c r="D100" t="s">
        <v>56</v>
      </c>
      <c r="E100" t="s">
        <v>40</v>
      </c>
      <c r="F100" t="s">
        <v>168</v>
      </c>
      <c r="G100" t="s">
        <v>376</v>
      </c>
      <c r="H100" t="s">
        <v>22</v>
      </c>
      <c r="I100" s="2">
        <v>45175</v>
      </c>
      <c r="J100" t="s">
        <v>59</v>
      </c>
      <c r="K100" t="s">
        <v>44</v>
      </c>
      <c r="L100" t="s">
        <v>35</v>
      </c>
      <c r="M100" t="s">
        <v>36</v>
      </c>
      <c r="N100" s="3">
        <v>19135.68</v>
      </c>
      <c r="O100">
        <v>36</v>
      </c>
      <c r="P100" s="3">
        <v>688884.48</v>
      </c>
    </row>
    <row r="101" spans="1:16" x14ac:dyDescent="0.3">
      <c r="A101" t="s">
        <v>377</v>
      </c>
      <c r="B101" s="2">
        <v>44563</v>
      </c>
      <c r="C101" t="s">
        <v>378</v>
      </c>
      <c r="D101" t="s">
        <v>74</v>
      </c>
      <c r="E101" t="s">
        <v>97</v>
      </c>
      <c r="F101" t="s">
        <v>57</v>
      </c>
      <c r="G101" t="s">
        <v>379</v>
      </c>
      <c r="H101" t="s">
        <v>22</v>
      </c>
      <c r="I101" s="2">
        <v>44569</v>
      </c>
      <c r="J101" t="s">
        <v>23</v>
      </c>
      <c r="K101" t="s">
        <v>60</v>
      </c>
      <c r="L101" t="s">
        <v>25</v>
      </c>
      <c r="M101" t="s">
        <v>26</v>
      </c>
      <c r="N101" s="3">
        <v>8080</v>
      </c>
      <c r="O101">
        <v>28</v>
      </c>
      <c r="P101" s="3">
        <v>226240</v>
      </c>
    </row>
    <row r="102" spans="1:16" x14ac:dyDescent="0.3">
      <c r="A102" t="s">
        <v>380</v>
      </c>
      <c r="B102" s="2">
        <v>45538</v>
      </c>
      <c r="C102" t="s">
        <v>381</v>
      </c>
      <c r="D102" t="s">
        <v>91</v>
      </c>
      <c r="E102" t="s">
        <v>65</v>
      </c>
      <c r="F102" t="s">
        <v>31</v>
      </c>
      <c r="G102" t="s">
        <v>382</v>
      </c>
      <c r="H102" t="s">
        <v>68</v>
      </c>
      <c r="I102" s="2">
        <v>45540</v>
      </c>
      <c r="J102" t="s">
        <v>122</v>
      </c>
      <c r="K102" t="s">
        <v>69</v>
      </c>
      <c r="L102" t="s">
        <v>25</v>
      </c>
      <c r="M102" t="s">
        <v>26</v>
      </c>
      <c r="N102" s="3">
        <v>12906.77</v>
      </c>
      <c r="O102">
        <v>16</v>
      </c>
      <c r="P102" s="3">
        <v>206508.32</v>
      </c>
    </row>
    <row r="103" spans="1:16" x14ac:dyDescent="0.3">
      <c r="A103" t="s">
        <v>383</v>
      </c>
      <c r="B103" s="2">
        <v>45480</v>
      </c>
      <c r="C103" t="s">
        <v>384</v>
      </c>
      <c r="D103" t="s">
        <v>190</v>
      </c>
      <c r="E103" t="s">
        <v>114</v>
      </c>
      <c r="F103" t="s">
        <v>57</v>
      </c>
      <c r="G103" t="s">
        <v>385</v>
      </c>
      <c r="H103" t="s">
        <v>33</v>
      </c>
      <c r="I103" s="2">
        <v>45481</v>
      </c>
      <c r="J103" t="s">
        <v>34</v>
      </c>
      <c r="K103" t="s">
        <v>24</v>
      </c>
      <c r="L103" t="s">
        <v>93</v>
      </c>
      <c r="M103" t="s">
        <v>94</v>
      </c>
      <c r="N103" s="3">
        <v>14159.17</v>
      </c>
      <c r="O103">
        <v>4</v>
      </c>
      <c r="P103" s="3">
        <v>56636.68</v>
      </c>
    </row>
    <row r="104" spans="1:16" x14ac:dyDescent="0.3">
      <c r="A104" t="s">
        <v>386</v>
      </c>
      <c r="B104" s="2">
        <v>45197</v>
      </c>
      <c r="C104" t="s">
        <v>387</v>
      </c>
      <c r="D104" t="s">
        <v>18</v>
      </c>
      <c r="E104" t="s">
        <v>85</v>
      </c>
      <c r="F104" t="s">
        <v>150</v>
      </c>
      <c r="G104" t="s">
        <v>388</v>
      </c>
      <c r="H104" t="s">
        <v>22</v>
      </c>
      <c r="I104" s="2">
        <v>45199</v>
      </c>
      <c r="J104" t="s">
        <v>23</v>
      </c>
      <c r="K104" t="s">
        <v>60</v>
      </c>
      <c r="L104" t="s">
        <v>147</v>
      </c>
      <c r="M104" t="s">
        <v>71</v>
      </c>
      <c r="N104" s="3">
        <v>8682.4699999999993</v>
      </c>
      <c r="O104">
        <v>20</v>
      </c>
      <c r="P104" s="3">
        <v>173649.4</v>
      </c>
    </row>
    <row r="105" spans="1:16" x14ac:dyDescent="0.3">
      <c r="A105" t="s">
        <v>389</v>
      </c>
      <c r="B105" s="2">
        <v>44823</v>
      </c>
      <c r="C105" t="s">
        <v>390</v>
      </c>
      <c r="D105" t="s">
        <v>29</v>
      </c>
      <c r="E105" t="s">
        <v>49</v>
      </c>
      <c r="F105" t="s">
        <v>108</v>
      </c>
      <c r="G105" t="s">
        <v>391</v>
      </c>
      <c r="H105" t="s">
        <v>68</v>
      </c>
      <c r="I105" s="2">
        <v>44831</v>
      </c>
      <c r="J105" t="s">
        <v>77</v>
      </c>
      <c r="K105" t="s">
        <v>69</v>
      </c>
      <c r="L105" t="s">
        <v>35</v>
      </c>
      <c r="M105" t="s">
        <v>36</v>
      </c>
      <c r="N105" s="3">
        <v>3130.18</v>
      </c>
      <c r="O105">
        <v>22</v>
      </c>
      <c r="P105" s="3">
        <v>68863.959999999992</v>
      </c>
    </row>
    <row r="106" spans="1:16" x14ac:dyDescent="0.3">
      <c r="A106" t="s">
        <v>392</v>
      </c>
      <c r="B106" s="2">
        <v>45234</v>
      </c>
      <c r="C106" t="s">
        <v>393</v>
      </c>
      <c r="D106" t="s">
        <v>84</v>
      </c>
      <c r="E106" t="s">
        <v>40</v>
      </c>
      <c r="F106" t="s">
        <v>41</v>
      </c>
      <c r="G106" t="s">
        <v>394</v>
      </c>
      <c r="H106" t="s">
        <v>22</v>
      </c>
      <c r="I106" s="2">
        <v>45237</v>
      </c>
      <c r="J106" t="s">
        <v>23</v>
      </c>
      <c r="K106" t="s">
        <v>24</v>
      </c>
      <c r="L106" t="s">
        <v>78</v>
      </c>
      <c r="M106" t="s">
        <v>71</v>
      </c>
      <c r="N106" s="3">
        <v>8720.82</v>
      </c>
      <c r="O106">
        <v>32</v>
      </c>
      <c r="P106" s="3">
        <v>279066.23999999999</v>
      </c>
    </row>
    <row r="107" spans="1:16" x14ac:dyDescent="0.3">
      <c r="A107" t="s">
        <v>395</v>
      </c>
      <c r="B107" s="2">
        <v>45851</v>
      </c>
      <c r="C107" t="s">
        <v>396</v>
      </c>
      <c r="D107" t="s">
        <v>18</v>
      </c>
      <c r="E107" t="s">
        <v>30</v>
      </c>
      <c r="F107" t="s">
        <v>75</v>
      </c>
      <c r="G107" t="s">
        <v>291</v>
      </c>
      <c r="H107" t="s">
        <v>68</v>
      </c>
      <c r="I107" s="2">
        <v>45855</v>
      </c>
      <c r="J107" t="s">
        <v>34</v>
      </c>
      <c r="K107" t="s">
        <v>44</v>
      </c>
      <c r="L107" t="s">
        <v>139</v>
      </c>
      <c r="M107" t="s">
        <v>140</v>
      </c>
      <c r="N107" s="3">
        <v>17375.43</v>
      </c>
      <c r="O107">
        <v>7</v>
      </c>
      <c r="P107" s="3">
        <v>121628.01</v>
      </c>
    </row>
    <row r="108" spans="1:16" x14ac:dyDescent="0.3">
      <c r="A108" t="s">
        <v>397</v>
      </c>
      <c r="B108" s="2">
        <v>45349</v>
      </c>
      <c r="C108" t="s">
        <v>398</v>
      </c>
      <c r="D108" t="s">
        <v>39</v>
      </c>
      <c r="E108" t="s">
        <v>30</v>
      </c>
      <c r="F108" t="s">
        <v>150</v>
      </c>
      <c r="G108" t="s">
        <v>399</v>
      </c>
      <c r="H108" t="s">
        <v>43</v>
      </c>
      <c r="I108" s="2">
        <v>45352</v>
      </c>
      <c r="J108" t="s">
        <v>34</v>
      </c>
      <c r="K108" t="s">
        <v>44</v>
      </c>
      <c r="L108" t="s">
        <v>25</v>
      </c>
      <c r="M108" t="s">
        <v>26</v>
      </c>
      <c r="N108" s="3">
        <v>18808.580000000002</v>
      </c>
      <c r="O108">
        <v>23</v>
      </c>
      <c r="P108" s="3">
        <v>432597.34</v>
      </c>
    </row>
    <row r="109" spans="1:16" x14ac:dyDescent="0.3">
      <c r="A109" t="s">
        <v>400</v>
      </c>
      <c r="B109" s="2">
        <v>45053</v>
      </c>
      <c r="C109" t="s">
        <v>401</v>
      </c>
      <c r="D109" t="s">
        <v>190</v>
      </c>
      <c r="E109" t="s">
        <v>65</v>
      </c>
      <c r="F109" t="s">
        <v>75</v>
      </c>
      <c r="G109" t="s">
        <v>402</v>
      </c>
      <c r="H109" t="s">
        <v>43</v>
      </c>
      <c r="I109" s="2">
        <v>45059</v>
      </c>
      <c r="J109" t="s">
        <v>77</v>
      </c>
      <c r="K109" t="s">
        <v>44</v>
      </c>
      <c r="L109" t="s">
        <v>147</v>
      </c>
      <c r="M109" t="s">
        <v>71</v>
      </c>
      <c r="N109" s="3">
        <v>15887.08</v>
      </c>
      <c r="O109">
        <v>17</v>
      </c>
      <c r="P109" s="3">
        <v>270080.36</v>
      </c>
    </row>
    <row r="110" spans="1:16" x14ac:dyDescent="0.3">
      <c r="A110" t="s">
        <v>403</v>
      </c>
      <c r="B110" s="2">
        <v>45750</v>
      </c>
      <c r="C110" t="s">
        <v>404</v>
      </c>
      <c r="D110" t="s">
        <v>56</v>
      </c>
      <c r="E110" t="s">
        <v>40</v>
      </c>
      <c r="F110" t="s">
        <v>41</v>
      </c>
      <c r="G110" t="s">
        <v>405</v>
      </c>
      <c r="H110" t="s">
        <v>68</v>
      </c>
      <c r="I110" s="2">
        <v>45751</v>
      </c>
      <c r="J110" t="s">
        <v>34</v>
      </c>
      <c r="K110" t="s">
        <v>44</v>
      </c>
      <c r="L110" t="s">
        <v>35</v>
      </c>
      <c r="M110" t="s">
        <v>36</v>
      </c>
      <c r="N110" s="3">
        <v>4360.93</v>
      </c>
      <c r="O110">
        <v>35</v>
      </c>
      <c r="P110" s="3">
        <v>152632.54999999999</v>
      </c>
    </row>
    <row r="111" spans="1:16" x14ac:dyDescent="0.3">
      <c r="A111" t="s">
        <v>406</v>
      </c>
      <c r="B111" s="2">
        <v>45932</v>
      </c>
      <c r="C111" t="s">
        <v>407</v>
      </c>
      <c r="D111" t="s">
        <v>18</v>
      </c>
      <c r="E111" t="s">
        <v>19</v>
      </c>
      <c r="F111" t="s">
        <v>20</v>
      </c>
      <c r="G111" t="s">
        <v>408</v>
      </c>
      <c r="H111" t="s">
        <v>68</v>
      </c>
      <c r="I111" s="2">
        <v>45942</v>
      </c>
      <c r="J111" t="s">
        <v>59</v>
      </c>
      <c r="K111" t="s">
        <v>60</v>
      </c>
      <c r="L111" t="s">
        <v>250</v>
      </c>
      <c r="M111" t="s">
        <v>36</v>
      </c>
      <c r="N111" s="3">
        <v>4137.63</v>
      </c>
      <c r="O111">
        <v>11</v>
      </c>
      <c r="P111" s="3">
        <v>45513.93</v>
      </c>
    </row>
    <row r="112" spans="1:16" x14ac:dyDescent="0.3">
      <c r="A112" t="s">
        <v>409</v>
      </c>
      <c r="B112" s="2">
        <v>45345</v>
      </c>
      <c r="C112" t="s">
        <v>410</v>
      </c>
      <c r="D112" t="s">
        <v>18</v>
      </c>
      <c r="E112" t="s">
        <v>97</v>
      </c>
      <c r="F112" t="s">
        <v>50</v>
      </c>
      <c r="G112" t="s">
        <v>154</v>
      </c>
      <c r="H112" t="s">
        <v>22</v>
      </c>
      <c r="I112" s="2">
        <v>45348</v>
      </c>
      <c r="J112" t="s">
        <v>77</v>
      </c>
      <c r="K112" t="s">
        <v>69</v>
      </c>
      <c r="L112" t="s">
        <v>78</v>
      </c>
      <c r="M112" t="s">
        <v>71</v>
      </c>
      <c r="N112" s="3">
        <v>16407.38</v>
      </c>
      <c r="O112">
        <v>1</v>
      </c>
      <c r="P112" s="3">
        <v>16407.38</v>
      </c>
    </row>
    <row r="113" spans="1:16" x14ac:dyDescent="0.3">
      <c r="A113" t="s">
        <v>411</v>
      </c>
      <c r="B113" s="2">
        <v>45122</v>
      </c>
      <c r="C113" t="s">
        <v>412</v>
      </c>
      <c r="D113" t="s">
        <v>29</v>
      </c>
      <c r="E113" t="s">
        <v>49</v>
      </c>
      <c r="F113" t="s">
        <v>20</v>
      </c>
      <c r="G113" t="s">
        <v>413</v>
      </c>
      <c r="H113" t="s">
        <v>43</v>
      </c>
      <c r="I113" s="2">
        <v>45132</v>
      </c>
      <c r="J113" t="s">
        <v>34</v>
      </c>
      <c r="K113" t="s">
        <v>24</v>
      </c>
      <c r="L113" t="s">
        <v>61</v>
      </c>
      <c r="M113" t="s">
        <v>62</v>
      </c>
      <c r="N113" s="3">
        <v>5151.41</v>
      </c>
      <c r="O113">
        <v>41</v>
      </c>
      <c r="P113" s="3">
        <v>211207.81</v>
      </c>
    </row>
    <row r="114" spans="1:16" x14ac:dyDescent="0.3">
      <c r="A114" t="s">
        <v>414</v>
      </c>
      <c r="B114" s="2">
        <v>45103</v>
      </c>
      <c r="C114" t="s">
        <v>415</v>
      </c>
      <c r="D114" t="s">
        <v>29</v>
      </c>
      <c r="E114" t="s">
        <v>40</v>
      </c>
      <c r="F114" t="s">
        <v>66</v>
      </c>
      <c r="G114" t="s">
        <v>416</v>
      </c>
      <c r="H114" t="s">
        <v>68</v>
      </c>
      <c r="I114" s="2">
        <v>45105</v>
      </c>
      <c r="J114" t="s">
        <v>77</v>
      </c>
      <c r="K114" t="s">
        <v>69</v>
      </c>
      <c r="L114" t="s">
        <v>129</v>
      </c>
      <c r="M114" t="s">
        <v>88</v>
      </c>
      <c r="N114" s="3">
        <v>12275.43</v>
      </c>
      <c r="O114">
        <v>20</v>
      </c>
      <c r="P114" s="3">
        <v>245508.6</v>
      </c>
    </row>
    <row r="115" spans="1:16" x14ac:dyDescent="0.3">
      <c r="A115" t="s">
        <v>417</v>
      </c>
      <c r="B115" s="2">
        <v>45630</v>
      </c>
      <c r="C115" t="s">
        <v>418</v>
      </c>
      <c r="D115" t="s">
        <v>39</v>
      </c>
      <c r="E115" t="s">
        <v>107</v>
      </c>
      <c r="F115" t="s">
        <v>50</v>
      </c>
      <c r="G115" t="s">
        <v>419</v>
      </c>
      <c r="H115" t="s">
        <v>43</v>
      </c>
      <c r="I115" s="2">
        <v>45635</v>
      </c>
      <c r="J115" t="s">
        <v>23</v>
      </c>
      <c r="K115" t="s">
        <v>60</v>
      </c>
      <c r="L115" t="s">
        <v>250</v>
      </c>
      <c r="M115" t="s">
        <v>36</v>
      </c>
      <c r="N115" s="3">
        <v>5684.64</v>
      </c>
      <c r="O115">
        <v>31</v>
      </c>
      <c r="P115" s="3">
        <v>176223.84</v>
      </c>
    </row>
    <row r="116" spans="1:16" x14ac:dyDescent="0.3">
      <c r="A116" t="s">
        <v>420</v>
      </c>
      <c r="B116" s="2">
        <v>45999</v>
      </c>
      <c r="C116" t="s">
        <v>421</v>
      </c>
      <c r="D116" t="s">
        <v>190</v>
      </c>
      <c r="E116" t="s">
        <v>19</v>
      </c>
      <c r="F116" t="s">
        <v>168</v>
      </c>
      <c r="G116" t="s">
        <v>422</v>
      </c>
      <c r="H116" t="s">
        <v>33</v>
      </c>
      <c r="I116" s="2">
        <v>46007</v>
      </c>
      <c r="J116" t="s">
        <v>122</v>
      </c>
      <c r="K116" t="s">
        <v>69</v>
      </c>
      <c r="L116" t="s">
        <v>93</v>
      </c>
      <c r="M116" t="s">
        <v>94</v>
      </c>
      <c r="N116" s="3">
        <v>3858.03</v>
      </c>
      <c r="O116">
        <v>20</v>
      </c>
      <c r="P116" s="3">
        <v>77160.600000000006</v>
      </c>
    </row>
    <row r="117" spans="1:16" x14ac:dyDescent="0.3">
      <c r="A117" t="s">
        <v>423</v>
      </c>
      <c r="B117" s="2">
        <v>44705</v>
      </c>
      <c r="C117" t="s">
        <v>424</v>
      </c>
      <c r="D117" t="s">
        <v>164</v>
      </c>
      <c r="E117" t="s">
        <v>40</v>
      </c>
      <c r="F117" t="s">
        <v>20</v>
      </c>
      <c r="G117" t="s">
        <v>425</v>
      </c>
      <c r="H117" t="s">
        <v>68</v>
      </c>
      <c r="I117" s="2">
        <v>44709</v>
      </c>
      <c r="J117" t="s">
        <v>23</v>
      </c>
      <c r="K117" t="s">
        <v>60</v>
      </c>
      <c r="L117" t="s">
        <v>93</v>
      </c>
      <c r="M117" t="s">
        <v>94</v>
      </c>
      <c r="N117" s="3">
        <v>16013.88</v>
      </c>
      <c r="O117">
        <v>29</v>
      </c>
      <c r="P117" s="3">
        <v>464402.52</v>
      </c>
    </row>
    <row r="118" spans="1:16" x14ac:dyDescent="0.3">
      <c r="A118" t="s">
        <v>426</v>
      </c>
      <c r="B118" s="2">
        <v>45677</v>
      </c>
      <c r="C118" t="s">
        <v>427</v>
      </c>
      <c r="D118" t="s">
        <v>74</v>
      </c>
      <c r="E118" t="s">
        <v>197</v>
      </c>
      <c r="F118" t="s">
        <v>20</v>
      </c>
      <c r="G118" t="s">
        <v>428</v>
      </c>
      <c r="H118" t="s">
        <v>43</v>
      </c>
      <c r="I118" s="2">
        <v>45683</v>
      </c>
      <c r="J118" t="s">
        <v>34</v>
      </c>
      <c r="K118" t="s">
        <v>69</v>
      </c>
      <c r="L118" t="s">
        <v>210</v>
      </c>
      <c r="M118" t="s">
        <v>140</v>
      </c>
      <c r="N118" s="3">
        <v>8303.4500000000007</v>
      </c>
      <c r="O118">
        <v>33</v>
      </c>
      <c r="P118" s="3">
        <v>274013.84999999998</v>
      </c>
    </row>
    <row r="119" spans="1:16" x14ac:dyDescent="0.3">
      <c r="A119" t="s">
        <v>429</v>
      </c>
      <c r="B119" s="2">
        <v>44970</v>
      </c>
      <c r="C119" t="s">
        <v>430</v>
      </c>
      <c r="D119" t="s">
        <v>91</v>
      </c>
      <c r="E119" t="s">
        <v>97</v>
      </c>
      <c r="F119" t="s">
        <v>75</v>
      </c>
      <c r="G119" t="s">
        <v>431</v>
      </c>
      <c r="H119" t="s">
        <v>43</v>
      </c>
      <c r="I119" s="2">
        <v>44971</v>
      </c>
      <c r="J119" t="s">
        <v>77</v>
      </c>
      <c r="K119" t="s">
        <v>69</v>
      </c>
      <c r="L119" t="s">
        <v>129</v>
      </c>
      <c r="M119" t="s">
        <v>88</v>
      </c>
      <c r="N119" s="3">
        <v>11974.48</v>
      </c>
      <c r="O119">
        <v>30</v>
      </c>
      <c r="P119" s="3">
        <v>359234.4</v>
      </c>
    </row>
    <row r="120" spans="1:16" x14ac:dyDescent="0.3">
      <c r="A120" t="s">
        <v>432</v>
      </c>
      <c r="B120" s="2">
        <v>45191</v>
      </c>
      <c r="C120" t="s">
        <v>433</v>
      </c>
      <c r="D120" t="s">
        <v>29</v>
      </c>
      <c r="E120" t="s">
        <v>19</v>
      </c>
      <c r="F120" t="s">
        <v>31</v>
      </c>
      <c r="G120" t="s">
        <v>434</v>
      </c>
      <c r="H120" t="s">
        <v>68</v>
      </c>
      <c r="I120" s="2">
        <v>45196</v>
      </c>
      <c r="J120" t="s">
        <v>77</v>
      </c>
      <c r="K120" t="s">
        <v>24</v>
      </c>
      <c r="L120" t="s">
        <v>35</v>
      </c>
      <c r="M120" t="s">
        <v>36</v>
      </c>
      <c r="N120" s="3">
        <v>8685.1200000000008</v>
      </c>
      <c r="O120">
        <v>42</v>
      </c>
      <c r="P120" s="3">
        <v>364775.04</v>
      </c>
    </row>
    <row r="121" spans="1:16" x14ac:dyDescent="0.3">
      <c r="A121" t="s">
        <v>435</v>
      </c>
      <c r="B121" s="2">
        <v>45005</v>
      </c>
      <c r="C121" t="s">
        <v>436</v>
      </c>
      <c r="D121" t="s">
        <v>91</v>
      </c>
      <c r="E121" t="s">
        <v>97</v>
      </c>
      <c r="F121" t="s">
        <v>57</v>
      </c>
      <c r="G121" t="s">
        <v>437</v>
      </c>
      <c r="H121" t="s">
        <v>33</v>
      </c>
      <c r="I121" s="2">
        <v>45007</v>
      </c>
      <c r="J121" t="s">
        <v>59</v>
      </c>
      <c r="K121" t="s">
        <v>60</v>
      </c>
      <c r="L121" t="s">
        <v>78</v>
      </c>
      <c r="M121" t="s">
        <v>71</v>
      </c>
      <c r="N121" s="3">
        <v>16894.07</v>
      </c>
      <c r="O121">
        <v>39</v>
      </c>
      <c r="P121" s="3">
        <v>658868.73</v>
      </c>
    </row>
    <row r="122" spans="1:16" x14ac:dyDescent="0.3">
      <c r="A122" t="s">
        <v>438</v>
      </c>
      <c r="B122" s="2">
        <v>45679</v>
      </c>
      <c r="C122" t="s">
        <v>439</v>
      </c>
      <c r="D122" t="s">
        <v>91</v>
      </c>
      <c r="E122" t="s">
        <v>65</v>
      </c>
      <c r="F122" t="s">
        <v>150</v>
      </c>
      <c r="G122" t="s">
        <v>440</v>
      </c>
      <c r="H122" t="s">
        <v>68</v>
      </c>
      <c r="I122" s="2">
        <v>45683</v>
      </c>
      <c r="J122" t="s">
        <v>59</v>
      </c>
      <c r="K122" t="s">
        <v>60</v>
      </c>
      <c r="L122" t="s">
        <v>110</v>
      </c>
      <c r="M122" t="s">
        <v>111</v>
      </c>
      <c r="N122" s="3">
        <v>5422.77</v>
      </c>
      <c r="O122">
        <v>24</v>
      </c>
      <c r="P122" s="3">
        <v>130146.48</v>
      </c>
    </row>
    <row r="123" spans="1:16" x14ac:dyDescent="0.3">
      <c r="A123" t="s">
        <v>441</v>
      </c>
      <c r="B123" s="2">
        <v>45842</v>
      </c>
      <c r="C123" t="s">
        <v>442</v>
      </c>
      <c r="D123" t="s">
        <v>84</v>
      </c>
      <c r="E123" t="s">
        <v>97</v>
      </c>
      <c r="F123" t="s">
        <v>31</v>
      </c>
      <c r="G123" t="s">
        <v>443</v>
      </c>
      <c r="H123" t="s">
        <v>22</v>
      </c>
      <c r="I123" s="2">
        <v>45845</v>
      </c>
      <c r="J123" t="s">
        <v>34</v>
      </c>
      <c r="K123" t="s">
        <v>69</v>
      </c>
      <c r="L123" t="s">
        <v>52</v>
      </c>
      <c r="M123" t="s">
        <v>53</v>
      </c>
      <c r="N123" s="3">
        <v>5609.21</v>
      </c>
      <c r="O123">
        <v>6</v>
      </c>
      <c r="P123" s="3">
        <v>33655.26</v>
      </c>
    </row>
    <row r="124" spans="1:16" x14ac:dyDescent="0.3">
      <c r="A124" t="s">
        <v>444</v>
      </c>
      <c r="B124" s="2">
        <v>45104</v>
      </c>
      <c r="C124" t="s">
        <v>445</v>
      </c>
      <c r="D124" t="s">
        <v>164</v>
      </c>
      <c r="E124" t="s">
        <v>197</v>
      </c>
      <c r="F124" t="s">
        <v>57</v>
      </c>
      <c r="G124" t="s">
        <v>446</v>
      </c>
      <c r="H124" t="s">
        <v>33</v>
      </c>
      <c r="I124" s="2">
        <v>45105</v>
      </c>
      <c r="J124" t="s">
        <v>23</v>
      </c>
      <c r="K124" t="s">
        <v>44</v>
      </c>
      <c r="L124" t="s">
        <v>35</v>
      </c>
      <c r="M124" t="s">
        <v>36</v>
      </c>
      <c r="N124" s="3">
        <v>5233.1099999999997</v>
      </c>
      <c r="O124">
        <v>9</v>
      </c>
      <c r="P124" s="3">
        <v>47097.99</v>
      </c>
    </row>
    <row r="125" spans="1:16" x14ac:dyDescent="0.3">
      <c r="A125" t="s">
        <v>447</v>
      </c>
      <c r="B125" s="2">
        <v>45934</v>
      </c>
      <c r="C125" t="s">
        <v>448</v>
      </c>
      <c r="D125" t="s">
        <v>74</v>
      </c>
      <c r="E125" t="s">
        <v>19</v>
      </c>
      <c r="F125" t="s">
        <v>75</v>
      </c>
      <c r="G125" t="s">
        <v>449</v>
      </c>
      <c r="H125" t="s">
        <v>43</v>
      </c>
      <c r="I125" s="2">
        <v>45935</v>
      </c>
      <c r="J125" t="s">
        <v>59</v>
      </c>
      <c r="K125" t="s">
        <v>69</v>
      </c>
      <c r="L125" t="s">
        <v>139</v>
      </c>
      <c r="M125" t="s">
        <v>140</v>
      </c>
      <c r="N125" s="3">
        <v>3398.27</v>
      </c>
      <c r="O125">
        <v>37</v>
      </c>
      <c r="P125" s="3">
        <v>125735.99</v>
      </c>
    </row>
    <row r="126" spans="1:16" x14ac:dyDescent="0.3">
      <c r="A126" t="s">
        <v>450</v>
      </c>
      <c r="B126" s="2">
        <v>44714</v>
      </c>
      <c r="C126" t="s">
        <v>451</v>
      </c>
      <c r="D126" t="s">
        <v>164</v>
      </c>
      <c r="E126" t="s">
        <v>114</v>
      </c>
      <c r="F126" t="s">
        <v>41</v>
      </c>
      <c r="G126" t="s">
        <v>367</v>
      </c>
      <c r="H126" t="s">
        <v>68</v>
      </c>
      <c r="I126" s="2">
        <v>44716</v>
      </c>
      <c r="J126" t="s">
        <v>23</v>
      </c>
      <c r="K126" t="s">
        <v>44</v>
      </c>
      <c r="L126" t="s">
        <v>147</v>
      </c>
      <c r="M126" t="s">
        <v>71</v>
      </c>
      <c r="N126" s="3">
        <v>16385.87</v>
      </c>
      <c r="O126">
        <v>2</v>
      </c>
      <c r="P126" s="3">
        <v>32771.74</v>
      </c>
    </row>
    <row r="127" spans="1:16" x14ac:dyDescent="0.3">
      <c r="A127" t="s">
        <v>452</v>
      </c>
      <c r="B127" s="2">
        <v>45943</v>
      </c>
      <c r="C127" t="s">
        <v>453</v>
      </c>
      <c r="D127" t="s">
        <v>56</v>
      </c>
      <c r="E127" t="s">
        <v>65</v>
      </c>
      <c r="F127" t="s">
        <v>41</v>
      </c>
      <c r="G127" t="s">
        <v>454</v>
      </c>
      <c r="H127" t="s">
        <v>68</v>
      </c>
      <c r="I127" s="2">
        <v>45944</v>
      </c>
      <c r="J127" t="s">
        <v>77</v>
      </c>
      <c r="K127" t="s">
        <v>24</v>
      </c>
      <c r="L127" t="s">
        <v>52</v>
      </c>
      <c r="M127" t="s">
        <v>53</v>
      </c>
      <c r="N127" s="3">
        <v>12098.85</v>
      </c>
      <c r="O127">
        <v>20</v>
      </c>
      <c r="P127" s="3">
        <v>241977</v>
      </c>
    </row>
    <row r="128" spans="1:16" x14ac:dyDescent="0.3">
      <c r="A128" t="s">
        <v>455</v>
      </c>
      <c r="B128" s="2">
        <v>45327</v>
      </c>
      <c r="C128" t="s">
        <v>456</v>
      </c>
      <c r="D128" t="s">
        <v>84</v>
      </c>
      <c r="E128" t="s">
        <v>107</v>
      </c>
      <c r="F128" t="s">
        <v>41</v>
      </c>
      <c r="G128" t="s">
        <v>457</v>
      </c>
      <c r="H128" t="s">
        <v>33</v>
      </c>
      <c r="I128" s="2">
        <v>45334</v>
      </c>
      <c r="J128" t="s">
        <v>23</v>
      </c>
      <c r="K128" t="s">
        <v>60</v>
      </c>
      <c r="L128" t="s">
        <v>93</v>
      </c>
      <c r="M128" t="s">
        <v>94</v>
      </c>
      <c r="N128" s="3">
        <v>10294.43</v>
      </c>
      <c r="O128">
        <v>48</v>
      </c>
      <c r="P128" s="3">
        <v>494132.64</v>
      </c>
    </row>
    <row r="129" spans="1:16" x14ac:dyDescent="0.3">
      <c r="A129" t="s">
        <v>458</v>
      </c>
      <c r="B129" s="2">
        <v>44824</v>
      </c>
      <c r="C129" t="s">
        <v>459</v>
      </c>
      <c r="D129" t="s">
        <v>39</v>
      </c>
      <c r="E129" t="s">
        <v>107</v>
      </c>
      <c r="F129" t="s">
        <v>75</v>
      </c>
      <c r="G129" t="s">
        <v>460</v>
      </c>
      <c r="H129" t="s">
        <v>22</v>
      </c>
      <c r="I129" s="2">
        <v>44832</v>
      </c>
      <c r="J129" t="s">
        <v>77</v>
      </c>
      <c r="K129" t="s">
        <v>60</v>
      </c>
      <c r="L129" t="s">
        <v>93</v>
      </c>
      <c r="M129" t="s">
        <v>94</v>
      </c>
      <c r="N129" s="3">
        <v>3237.42</v>
      </c>
      <c r="O129">
        <v>4</v>
      </c>
      <c r="P129" s="3">
        <v>12949.68</v>
      </c>
    </row>
    <row r="130" spans="1:16" x14ac:dyDescent="0.3">
      <c r="A130" t="s">
        <v>461</v>
      </c>
      <c r="B130" s="2">
        <v>45249</v>
      </c>
      <c r="C130" t="s">
        <v>462</v>
      </c>
      <c r="D130" t="s">
        <v>56</v>
      </c>
      <c r="E130" t="s">
        <v>97</v>
      </c>
      <c r="F130" t="s">
        <v>168</v>
      </c>
      <c r="G130" t="s">
        <v>463</v>
      </c>
      <c r="H130" t="s">
        <v>68</v>
      </c>
      <c r="I130" s="2">
        <v>45250</v>
      </c>
      <c r="J130" t="s">
        <v>122</v>
      </c>
      <c r="K130" t="s">
        <v>24</v>
      </c>
      <c r="L130" t="s">
        <v>250</v>
      </c>
      <c r="M130" t="s">
        <v>36</v>
      </c>
      <c r="N130" s="3">
        <v>12804.01</v>
      </c>
      <c r="O130">
        <v>32</v>
      </c>
      <c r="P130" s="3">
        <v>409728.32</v>
      </c>
    </row>
    <row r="131" spans="1:16" x14ac:dyDescent="0.3">
      <c r="A131" t="s">
        <v>464</v>
      </c>
      <c r="B131" s="2">
        <v>45631</v>
      </c>
      <c r="C131" t="s">
        <v>465</v>
      </c>
      <c r="D131" t="s">
        <v>39</v>
      </c>
      <c r="E131" t="s">
        <v>40</v>
      </c>
      <c r="F131" t="s">
        <v>168</v>
      </c>
      <c r="G131" t="s">
        <v>466</v>
      </c>
      <c r="H131" t="s">
        <v>68</v>
      </c>
      <c r="I131" s="2">
        <v>45638</v>
      </c>
      <c r="J131" t="s">
        <v>23</v>
      </c>
      <c r="K131" t="s">
        <v>69</v>
      </c>
      <c r="L131" t="s">
        <v>147</v>
      </c>
      <c r="M131" t="s">
        <v>71</v>
      </c>
      <c r="N131" s="3">
        <v>2789.23</v>
      </c>
      <c r="O131">
        <v>34</v>
      </c>
      <c r="P131" s="3">
        <v>94833.82</v>
      </c>
    </row>
    <row r="132" spans="1:16" x14ac:dyDescent="0.3">
      <c r="A132" t="s">
        <v>467</v>
      </c>
      <c r="B132" s="2">
        <v>45354</v>
      </c>
      <c r="C132" t="s">
        <v>468</v>
      </c>
      <c r="D132" t="s">
        <v>84</v>
      </c>
      <c r="E132" t="s">
        <v>197</v>
      </c>
      <c r="F132" t="s">
        <v>168</v>
      </c>
      <c r="G132" t="s">
        <v>469</v>
      </c>
      <c r="H132" t="s">
        <v>43</v>
      </c>
      <c r="I132" s="2">
        <v>45364</v>
      </c>
      <c r="J132" t="s">
        <v>122</v>
      </c>
      <c r="K132" t="s">
        <v>44</v>
      </c>
      <c r="L132" t="s">
        <v>70</v>
      </c>
      <c r="M132" t="s">
        <v>71</v>
      </c>
      <c r="N132" s="3">
        <v>2391.87</v>
      </c>
      <c r="O132">
        <v>15</v>
      </c>
      <c r="P132" s="3">
        <v>35878.050000000003</v>
      </c>
    </row>
    <row r="133" spans="1:16" x14ac:dyDescent="0.3">
      <c r="A133" t="s">
        <v>470</v>
      </c>
      <c r="B133" s="2">
        <v>45459</v>
      </c>
      <c r="C133" t="s">
        <v>471</v>
      </c>
      <c r="D133" t="s">
        <v>18</v>
      </c>
      <c r="E133" t="s">
        <v>85</v>
      </c>
      <c r="F133" t="s">
        <v>20</v>
      </c>
      <c r="G133" t="s">
        <v>472</v>
      </c>
      <c r="H133" t="s">
        <v>43</v>
      </c>
      <c r="I133" s="2">
        <v>45464</v>
      </c>
      <c r="J133" t="s">
        <v>77</v>
      </c>
      <c r="K133" t="s">
        <v>44</v>
      </c>
      <c r="L133" t="s">
        <v>78</v>
      </c>
      <c r="M133" t="s">
        <v>71</v>
      </c>
      <c r="N133" s="3">
        <v>13818.19</v>
      </c>
      <c r="O133">
        <v>14</v>
      </c>
      <c r="P133" s="3">
        <v>193454.66</v>
      </c>
    </row>
    <row r="134" spans="1:16" x14ac:dyDescent="0.3">
      <c r="A134" t="s">
        <v>473</v>
      </c>
      <c r="B134" s="2">
        <v>45340</v>
      </c>
      <c r="C134" t="s">
        <v>474</v>
      </c>
      <c r="D134" t="s">
        <v>39</v>
      </c>
      <c r="E134" t="s">
        <v>30</v>
      </c>
      <c r="F134" t="s">
        <v>57</v>
      </c>
      <c r="G134" t="s">
        <v>475</v>
      </c>
      <c r="H134" t="s">
        <v>43</v>
      </c>
      <c r="I134" s="2">
        <v>45343</v>
      </c>
      <c r="J134" t="s">
        <v>34</v>
      </c>
      <c r="K134" t="s">
        <v>44</v>
      </c>
      <c r="L134" t="s">
        <v>70</v>
      </c>
      <c r="M134" t="s">
        <v>71</v>
      </c>
      <c r="N134" s="3">
        <v>19835.64</v>
      </c>
      <c r="O134">
        <v>34</v>
      </c>
      <c r="P134" s="3">
        <v>674411.76</v>
      </c>
    </row>
    <row r="135" spans="1:16" x14ac:dyDescent="0.3">
      <c r="A135" t="s">
        <v>476</v>
      </c>
      <c r="B135" s="2">
        <v>45213</v>
      </c>
      <c r="C135" t="s">
        <v>477</v>
      </c>
      <c r="D135" t="s">
        <v>84</v>
      </c>
      <c r="E135" t="s">
        <v>40</v>
      </c>
      <c r="F135" t="s">
        <v>150</v>
      </c>
      <c r="G135" t="s">
        <v>478</v>
      </c>
      <c r="H135" t="s">
        <v>68</v>
      </c>
      <c r="I135" s="2">
        <v>45214</v>
      </c>
      <c r="J135" t="s">
        <v>34</v>
      </c>
      <c r="K135" t="s">
        <v>24</v>
      </c>
      <c r="L135" t="s">
        <v>45</v>
      </c>
      <c r="M135" t="s">
        <v>46</v>
      </c>
      <c r="N135" s="3">
        <v>9723.11</v>
      </c>
      <c r="O135">
        <v>8</v>
      </c>
      <c r="P135" s="3">
        <v>77784.88</v>
      </c>
    </row>
    <row r="136" spans="1:16" x14ac:dyDescent="0.3">
      <c r="A136" t="s">
        <v>479</v>
      </c>
      <c r="B136" s="2">
        <v>44589</v>
      </c>
      <c r="C136" t="s">
        <v>480</v>
      </c>
      <c r="D136" t="s">
        <v>91</v>
      </c>
      <c r="E136" t="s">
        <v>40</v>
      </c>
      <c r="F136" t="s">
        <v>150</v>
      </c>
      <c r="G136" t="s">
        <v>481</v>
      </c>
      <c r="H136" t="s">
        <v>68</v>
      </c>
      <c r="I136" s="2">
        <v>44597</v>
      </c>
      <c r="J136" t="s">
        <v>59</v>
      </c>
      <c r="K136" t="s">
        <v>69</v>
      </c>
      <c r="L136" t="s">
        <v>70</v>
      </c>
      <c r="M136" t="s">
        <v>71</v>
      </c>
      <c r="N136" s="3">
        <v>17681.97</v>
      </c>
      <c r="O136">
        <v>20</v>
      </c>
      <c r="P136" s="3">
        <v>353639.4</v>
      </c>
    </row>
    <row r="137" spans="1:16" x14ac:dyDescent="0.3">
      <c r="A137" t="s">
        <v>482</v>
      </c>
      <c r="B137" s="2">
        <v>45153</v>
      </c>
      <c r="C137" t="s">
        <v>483</v>
      </c>
      <c r="D137" t="s">
        <v>91</v>
      </c>
      <c r="E137" t="s">
        <v>40</v>
      </c>
      <c r="F137" t="s">
        <v>20</v>
      </c>
      <c r="G137" t="s">
        <v>394</v>
      </c>
      <c r="H137" t="s">
        <v>33</v>
      </c>
      <c r="I137" s="2">
        <v>45159</v>
      </c>
      <c r="J137" t="s">
        <v>23</v>
      </c>
      <c r="K137" t="s">
        <v>44</v>
      </c>
      <c r="L137" t="s">
        <v>61</v>
      </c>
      <c r="M137" t="s">
        <v>62</v>
      </c>
      <c r="N137" s="3">
        <v>19948.900000000001</v>
      </c>
      <c r="O137">
        <v>22</v>
      </c>
      <c r="P137" s="3">
        <v>438875.8</v>
      </c>
    </row>
    <row r="138" spans="1:16" x14ac:dyDescent="0.3">
      <c r="A138" t="s">
        <v>484</v>
      </c>
      <c r="B138" s="2">
        <v>44673</v>
      </c>
      <c r="C138" t="s">
        <v>485</v>
      </c>
      <c r="D138" t="s">
        <v>29</v>
      </c>
      <c r="E138" t="s">
        <v>49</v>
      </c>
      <c r="F138" t="s">
        <v>57</v>
      </c>
      <c r="G138" t="s">
        <v>486</v>
      </c>
      <c r="H138" t="s">
        <v>68</v>
      </c>
      <c r="I138" s="2">
        <v>44676</v>
      </c>
      <c r="J138" t="s">
        <v>23</v>
      </c>
      <c r="K138" t="s">
        <v>69</v>
      </c>
      <c r="L138" t="s">
        <v>25</v>
      </c>
      <c r="M138" t="s">
        <v>26</v>
      </c>
      <c r="N138" s="3">
        <v>8267.77</v>
      </c>
      <c r="O138">
        <v>7</v>
      </c>
      <c r="P138" s="3">
        <v>57874.39</v>
      </c>
    </row>
    <row r="139" spans="1:16" x14ac:dyDescent="0.3">
      <c r="A139" t="s">
        <v>487</v>
      </c>
      <c r="B139" s="2">
        <v>45691</v>
      </c>
      <c r="C139" t="s">
        <v>488</v>
      </c>
      <c r="D139" t="s">
        <v>164</v>
      </c>
      <c r="E139" t="s">
        <v>197</v>
      </c>
      <c r="F139" t="s">
        <v>20</v>
      </c>
      <c r="G139" t="s">
        <v>489</v>
      </c>
      <c r="H139" t="s">
        <v>43</v>
      </c>
      <c r="I139" s="2">
        <v>45698</v>
      </c>
      <c r="J139" t="s">
        <v>77</v>
      </c>
      <c r="K139" t="s">
        <v>44</v>
      </c>
      <c r="L139" t="s">
        <v>93</v>
      </c>
      <c r="M139" t="s">
        <v>94</v>
      </c>
      <c r="N139" s="3">
        <v>10242.26</v>
      </c>
      <c r="O139">
        <v>41</v>
      </c>
      <c r="P139" s="3">
        <v>419932.66</v>
      </c>
    </row>
    <row r="140" spans="1:16" x14ac:dyDescent="0.3">
      <c r="A140" t="s">
        <v>490</v>
      </c>
      <c r="B140" s="2">
        <v>44917</v>
      </c>
      <c r="C140" t="s">
        <v>491</v>
      </c>
      <c r="D140" t="s">
        <v>157</v>
      </c>
      <c r="E140" t="s">
        <v>65</v>
      </c>
      <c r="F140" t="s">
        <v>41</v>
      </c>
      <c r="G140" t="s">
        <v>492</v>
      </c>
      <c r="H140" t="s">
        <v>22</v>
      </c>
      <c r="I140" s="2">
        <v>44927</v>
      </c>
      <c r="J140" t="s">
        <v>77</v>
      </c>
      <c r="K140" t="s">
        <v>60</v>
      </c>
      <c r="L140" t="s">
        <v>70</v>
      </c>
      <c r="M140" t="s">
        <v>71</v>
      </c>
      <c r="N140" s="3">
        <v>9615.91</v>
      </c>
      <c r="O140">
        <v>5</v>
      </c>
      <c r="P140" s="3">
        <v>48079.55</v>
      </c>
    </row>
    <row r="141" spans="1:16" x14ac:dyDescent="0.3">
      <c r="A141" t="s">
        <v>493</v>
      </c>
      <c r="B141" s="2">
        <v>45141</v>
      </c>
      <c r="C141" t="s">
        <v>494</v>
      </c>
      <c r="D141" t="s">
        <v>91</v>
      </c>
      <c r="E141" t="s">
        <v>114</v>
      </c>
      <c r="F141" t="s">
        <v>108</v>
      </c>
      <c r="G141" t="s">
        <v>495</v>
      </c>
      <c r="H141" t="s">
        <v>43</v>
      </c>
      <c r="I141" s="2">
        <v>45149</v>
      </c>
      <c r="J141" t="s">
        <v>34</v>
      </c>
      <c r="K141" t="s">
        <v>60</v>
      </c>
      <c r="L141" t="s">
        <v>110</v>
      </c>
      <c r="M141" t="s">
        <v>111</v>
      </c>
      <c r="N141" s="3">
        <v>15750.95</v>
      </c>
      <c r="O141">
        <v>16</v>
      </c>
      <c r="P141" s="3">
        <v>252015.2</v>
      </c>
    </row>
    <row r="142" spans="1:16" x14ac:dyDescent="0.3">
      <c r="A142" t="s">
        <v>496</v>
      </c>
      <c r="B142" s="2">
        <v>45385</v>
      </c>
      <c r="C142" t="s">
        <v>497</v>
      </c>
      <c r="D142" t="s">
        <v>39</v>
      </c>
      <c r="E142" t="s">
        <v>40</v>
      </c>
      <c r="F142" t="s">
        <v>168</v>
      </c>
      <c r="G142" t="s">
        <v>498</v>
      </c>
      <c r="H142" t="s">
        <v>33</v>
      </c>
      <c r="I142" s="2">
        <v>45388</v>
      </c>
      <c r="J142" t="s">
        <v>77</v>
      </c>
      <c r="K142" t="s">
        <v>44</v>
      </c>
      <c r="L142" t="s">
        <v>129</v>
      </c>
      <c r="M142" t="s">
        <v>88</v>
      </c>
      <c r="N142" s="3">
        <v>9898.6299999999992</v>
      </c>
      <c r="O142">
        <v>48</v>
      </c>
      <c r="P142" s="3">
        <v>475134.24</v>
      </c>
    </row>
    <row r="143" spans="1:16" x14ac:dyDescent="0.3">
      <c r="A143" t="s">
        <v>499</v>
      </c>
      <c r="B143" s="2">
        <v>45478</v>
      </c>
      <c r="C143" t="s">
        <v>500</v>
      </c>
      <c r="D143" t="s">
        <v>29</v>
      </c>
      <c r="E143" t="s">
        <v>107</v>
      </c>
      <c r="F143" t="s">
        <v>20</v>
      </c>
      <c r="G143" t="s">
        <v>312</v>
      </c>
      <c r="H143" t="s">
        <v>43</v>
      </c>
      <c r="I143" s="2">
        <v>45479</v>
      </c>
      <c r="J143" t="s">
        <v>59</v>
      </c>
      <c r="K143" t="s">
        <v>44</v>
      </c>
      <c r="L143" t="s">
        <v>25</v>
      </c>
      <c r="M143" t="s">
        <v>26</v>
      </c>
      <c r="N143" s="3">
        <v>18615.759999999998</v>
      </c>
      <c r="O143">
        <v>39</v>
      </c>
      <c r="P143" s="3">
        <v>726014.6399999999</v>
      </c>
    </row>
    <row r="144" spans="1:16" x14ac:dyDescent="0.3">
      <c r="A144" t="s">
        <v>501</v>
      </c>
      <c r="B144" s="2">
        <v>44899</v>
      </c>
      <c r="C144" t="s">
        <v>502</v>
      </c>
      <c r="D144" t="s">
        <v>157</v>
      </c>
      <c r="E144" t="s">
        <v>19</v>
      </c>
      <c r="F144" t="s">
        <v>41</v>
      </c>
      <c r="G144" t="s">
        <v>503</v>
      </c>
      <c r="H144" t="s">
        <v>33</v>
      </c>
      <c r="I144" s="2">
        <v>44905</v>
      </c>
      <c r="J144" t="s">
        <v>122</v>
      </c>
      <c r="K144" t="s">
        <v>44</v>
      </c>
      <c r="L144" t="s">
        <v>110</v>
      </c>
      <c r="M144" t="s">
        <v>111</v>
      </c>
      <c r="N144" s="3">
        <v>10968.19</v>
      </c>
      <c r="O144">
        <v>12</v>
      </c>
      <c r="P144" s="3">
        <v>131618.28</v>
      </c>
    </row>
    <row r="145" spans="1:16" x14ac:dyDescent="0.3">
      <c r="A145" t="s">
        <v>504</v>
      </c>
      <c r="B145" s="2">
        <v>45821</v>
      </c>
      <c r="C145" t="s">
        <v>505</v>
      </c>
      <c r="D145" t="s">
        <v>84</v>
      </c>
      <c r="E145" t="s">
        <v>114</v>
      </c>
      <c r="F145" t="s">
        <v>31</v>
      </c>
      <c r="G145" t="s">
        <v>506</v>
      </c>
      <c r="H145" t="s">
        <v>68</v>
      </c>
      <c r="I145" s="2">
        <v>45829</v>
      </c>
      <c r="J145" t="s">
        <v>122</v>
      </c>
      <c r="K145" t="s">
        <v>44</v>
      </c>
      <c r="L145" t="s">
        <v>129</v>
      </c>
      <c r="M145" t="s">
        <v>88</v>
      </c>
      <c r="N145" s="3">
        <v>14518.33</v>
      </c>
      <c r="O145">
        <v>37</v>
      </c>
      <c r="P145" s="3">
        <v>537178.21</v>
      </c>
    </row>
    <row r="146" spans="1:16" x14ac:dyDescent="0.3">
      <c r="A146" t="s">
        <v>507</v>
      </c>
      <c r="B146" s="2">
        <v>45756</v>
      </c>
      <c r="C146" t="s">
        <v>508</v>
      </c>
      <c r="D146" t="s">
        <v>56</v>
      </c>
      <c r="E146" t="s">
        <v>85</v>
      </c>
      <c r="F146" t="s">
        <v>20</v>
      </c>
      <c r="G146" t="s">
        <v>509</v>
      </c>
      <c r="H146" t="s">
        <v>68</v>
      </c>
      <c r="I146" s="2">
        <v>45757</v>
      </c>
      <c r="J146" t="s">
        <v>122</v>
      </c>
      <c r="K146" t="s">
        <v>60</v>
      </c>
      <c r="L146" t="s">
        <v>147</v>
      </c>
      <c r="M146" t="s">
        <v>71</v>
      </c>
      <c r="N146" s="3">
        <v>8047.35</v>
      </c>
      <c r="O146">
        <v>4</v>
      </c>
      <c r="P146" s="3">
        <v>32189.4</v>
      </c>
    </row>
    <row r="147" spans="1:16" x14ac:dyDescent="0.3">
      <c r="A147" t="s">
        <v>510</v>
      </c>
      <c r="B147" s="2">
        <v>45814</v>
      </c>
      <c r="C147" t="s">
        <v>511</v>
      </c>
      <c r="D147" t="s">
        <v>74</v>
      </c>
      <c r="E147" t="s">
        <v>19</v>
      </c>
      <c r="F147" t="s">
        <v>31</v>
      </c>
      <c r="G147" t="s">
        <v>512</v>
      </c>
      <c r="H147" t="s">
        <v>43</v>
      </c>
      <c r="I147" s="2">
        <v>45818</v>
      </c>
      <c r="J147" t="s">
        <v>23</v>
      </c>
      <c r="K147" t="s">
        <v>24</v>
      </c>
      <c r="L147" t="s">
        <v>35</v>
      </c>
      <c r="M147" t="s">
        <v>36</v>
      </c>
      <c r="N147" s="3">
        <v>14205.91</v>
      </c>
      <c r="O147">
        <v>48</v>
      </c>
      <c r="P147" s="3">
        <v>681883.67999999993</v>
      </c>
    </row>
    <row r="148" spans="1:16" x14ac:dyDescent="0.3">
      <c r="A148" t="s">
        <v>513</v>
      </c>
      <c r="B148" s="2">
        <v>45942</v>
      </c>
      <c r="C148" t="s">
        <v>514</v>
      </c>
      <c r="D148" t="s">
        <v>56</v>
      </c>
      <c r="E148" t="s">
        <v>40</v>
      </c>
      <c r="F148" t="s">
        <v>50</v>
      </c>
      <c r="G148" t="s">
        <v>515</v>
      </c>
      <c r="H148" t="s">
        <v>22</v>
      </c>
      <c r="I148" s="2">
        <v>45948</v>
      </c>
      <c r="J148" t="s">
        <v>122</v>
      </c>
      <c r="K148" t="s">
        <v>24</v>
      </c>
      <c r="L148" t="s">
        <v>35</v>
      </c>
      <c r="M148" t="s">
        <v>36</v>
      </c>
      <c r="N148" s="3">
        <v>15251.38</v>
      </c>
      <c r="O148">
        <v>26</v>
      </c>
      <c r="P148" s="3">
        <v>396535.88</v>
      </c>
    </row>
    <row r="149" spans="1:16" x14ac:dyDescent="0.3">
      <c r="A149" t="s">
        <v>516</v>
      </c>
      <c r="B149" s="2">
        <v>44826</v>
      </c>
      <c r="C149" t="s">
        <v>517</v>
      </c>
      <c r="D149" t="s">
        <v>29</v>
      </c>
      <c r="E149" t="s">
        <v>65</v>
      </c>
      <c r="F149" t="s">
        <v>41</v>
      </c>
      <c r="G149" t="s">
        <v>518</v>
      </c>
      <c r="H149" t="s">
        <v>68</v>
      </c>
      <c r="I149" s="2">
        <v>44835</v>
      </c>
      <c r="J149" t="s">
        <v>77</v>
      </c>
      <c r="K149" t="s">
        <v>24</v>
      </c>
      <c r="L149" t="s">
        <v>147</v>
      </c>
      <c r="M149" t="s">
        <v>71</v>
      </c>
      <c r="N149" s="3">
        <v>17968.580000000002</v>
      </c>
      <c r="O149">
        <v>4</v>
      </c>
      <c r="P149" s="3">
        <v>71874.320000000007</v>
      </c>
    </row>
    <row r="150" spans="1:16" x14ac:dyDescent="0.3">
      <c r="A150" t="s">
        <v>519</v>
      </c>
      <c r="B150" s="2">
        <v>44584</v>
      </c>
      <c r="C150" t="s">
        <v>520</v>
      </c>
      <c r="D150" t="s">
        <v>164</v>
      </c>
      <c r="E150" t="s">
        <v>97</v>
      </c>
      <c r="F150" t="s">
        <v>20</v>
      </c>
      <c r="G150" t="s">
        <v>405</v>
      </c>
      <c r="H150" t="s">
        <v>22</v>
      </c>
      <c r="I150" s="2">
        <v>44587</v>
      </c>
      <c r="J150" t="s">
        <v>23</v>
      </c>
      <c r="K150" t="s">
        <v>44</v>
      </c>
      <c r="L150" t="s">
        <v>35</v>
      </c>
      <c r="M150" t="s">
        <v>36</v>
      </c>
      <c r="N150" s="3">
        <v>8701.34</v>
      </c>
      <c r="O150">
        <v>34</v>
      </c>
      <c r="P150" s="3">
        <v>295845.56</v>
      </c>
    </row>
    <row r="151" spans="1:16" x14ac:dyDescent="0.3">
      <c r="A151" t="s">
        <v>521</v>
      </c>
      <c r="B151" s="2">
        <v>44805</v>
      </c>
      <c r="C151" t="s">
        <v>522</v>
      </c>
      <c r="D151" t="s">
        <v>164</v>
      </c>
      <c r="E151" t="s">
        <v>65</v>
      </c>
      <c r="F151" t="s">
        <v>108</v>
      </c>
      <c r="G151" t="s">
        <v>523</v>
      </c>
      <c r="H151" t="s">
        <v>68</v>
      </c>
      <c r="I151" s="2">
        <v>44810</v>
      </c>
      <c r="J151" t="s">
        <v>77</v>
      </c>
      <c r="K151" t="s">
        <v>60</v>
      </c>
      <c r="L151" t="s">
        <v>93</v>
      </c>
      <c r="M151" t="s">
        <v>94</v>
      </c>
      <c r="N151" s="3">
        <v>14948.86</v>
      </c>
      <c r="O151">
        <v>36</v>
      </c>
      <c r="P151" s="3">
        <v>538158.96</v>
      </c>
    </row>
    <row r="152" spans="1:16" x14ac:dyDescent="0.3">
      <c r="A152" t="s">
        <v>524</v>
      </c>
      <c r="B152" s="2">
        <v>44936</v>
      </c>
      <c r="C152" t="s">
        <v>525</v>
      </c>
      <c r="D152" t="s">
        <v>84</v>
      </c>
      <c r="E152" t="s">
        <v>49</v>
      </c>
      <c r="F152" t="s">
        <v>31</v>
      </c>
      <c r="G152" t="s">
        <v>526</v>
      </c>
      <c r="H152" t="s">
        <v>33</v>
      </c>
      <c r="I152" s="2">
        <v>44937</v>
      </c>
      <c r="J152" t="s">
        <v>23</v>
      </c>
      <c r="K152" t="s">
        <v>24</v>
      </c>
      <c r="L152" t="s">
        <v>110</v>
      </c>
      <c r="M152" t="s">
        <v>111</v>
      </c>
      <c r="N152" s="3">
        <v>12108.67</v>
      </c>
      <c r="O152">
        <v>11</v>
      </c>
      <c r="P152" s="3">
        <v>133195.37</v>
      </c>
    </row>
    <row r="153" spans="1:16" x14ac:dyDescent="0.3">
      <c r="A153" t="s">
        <v>527</v>
      </c>
      <c r="B153" s="2">
        <v>44715</v>
      </c>
      <c r="C153" t="s">
        <v>528</v>
      </c>
      <c r="D153" t="s">
        <v>164</v>
      </c>
      <c r="E153" t="s">
        <v>114</v>
      </c>
      <c r="F153" t="s">
        <v>108</v>
      </c>
      <c r="G153" t="s">
        <v>529</v>
      </c>
      <c r="H153" t="s">
        <v>43</v>
      </c>
      <c r="I153" s="2">
        <v>44721</v>
      </c>
      <c r="J153" t="s">
        <v>23</v>
      </c>
      <c r="K153" t="s">
        <v>44</v>
      </c>
      <c r="L153" t="s">
        <v>250</v>
      </c>
      <c r="M153" t="s">
        <v>36</v>
      </c>
      <c r="N153" s="3">
        <v>8867.57</v>
      </c>
      <c r="O153">
        <v>35</v>
      </c>
      <c r="P153" s="3">
        <v>310364.95</v>
      </c>
    </row>
    <row r="154" spans="1:16" x14ac:dyDescent="0.3">
      <c r="A154" t="s">
        <v>530</v>
      </c>
      <c r="B154" s="2">
        <v>45177</v>
      </c>
      <c r="C154" t="s">
        <v>531</v>
      </c>
      <c r="D154" t="s">
        <v>29</v>
      </c>
      <c r="E154" t="s">
        <v>114</v>
      </c>
      <c r="F154" t="s">
        <v>31</v>
      </c>
      <c r="G154" t="s">
        <v>532</v>
      </c>
      <c r="H154" t="s">
        <v>43</v>
      </c>
      <c r="I154" s="2">
        <v>45184</v>
      </c>
      <c r="J154" t="s">
        <v>23</v>
      </c>
      <c r="K154" t="s">
        <v>69</v>
      </c>
      <c r="L154" t="s">
        <v>25</v>
      </c>
      <c r="M154" t="s">
        <v>26</v>
      </c>
      <c r="N154" s="3">
        <v>3333.47</v>
      </c>
      <c r="O154">
        <v>30</v>
      </c>
      <c r="P154" s="3">
        <v>100004.1</v>
      </c>
    </row>
    <row r="155" spans="1:16" x14ac:dyDescent="0.3">
      <c r="A155" t="s">
        <v>533</v>
      </c>
      <c r="B155" s="2">
        <v>45436</v>
      </c>
      <c r="C155" t="s">
        <v>534</v>
      </c>
      <c r="D155" t="s">
        <v>29</v>
      </c>
      <c r="E155" t="s">
        <v>49</v>
      </c>
      <c r="F155" t="s">
        <v>66</v>
      </c>
      <c r="G155" t="s">
        <v>535</v>
      </c>
      <c r="H155" t="s">
        <v>22</v>
      </c>
      <c r="I155" s="2">
        <v>45440</v>
      </c>
      <c r="J155" t="s">
        <v>34</v>
      </c>
      <c r="K155" t="s">
        <v>60</v>
      </c>
      <c r="L155" t="s">
        <v>78</v>
      </c>
      <c r="M155" t="s">
        <v>71</v>
      </c>
      <c r="N155" s="3">
        <v>14188.55</v>
      </c>
      <c r="O155">
        <v>49</v>
      </c>
      <c r="P155" s="3">
        <v>695238.95</v>
      </c>
    </row>
    <row r="156" spans="1:16" x14ac:dyDescent="0.3">
      <c r="A156" t="s">
        <v>536</v>
      </c>
      <c r="B156" s="2">
        <v>44725</v>
      </c>
      <c r="C156" t="s">
        <v>537</v>
      </c>
      <c r="D156" t="s">
        <v>91</v>
      </c>
      <c r="E156" t="s">
        <v>97</v>
      </c>
      <c r="F156" t="s">
        <v>108</v>
      </c>
      <c r="G156" t="s">
        <v>538</v>
      </c>
      <c r="H156" t="s">
        <v>33</v>
      </c>
      <c r="I156" s="2">
        <v>44728</v>
      </c>
      <c r="J156" t="s">
        <v>122</v>
      </c>
      <c r="K156" t="s">
        <v>24</v>
      </c>
      <c r="L156" t="s">
        <v>61</v>
      </c>
      <c r="M156" t="s">
        <v>62</v>
      </c>
      <c r="N156" s="3">
        <v>8913.9</v>
      </c>
      <c r="O156">
        <v>16</v>
      </c>
      <c r="P156" s="3">
        <v>142622.39999999999</v>
      </c>
    </row>
    <row r="157" spans="1:16" x14ac:dyDescent="0.3">
      <c r="A157" t="s">
        <v>539</v>
      </c>
      <c r="B157" s="2">
        <v>45593</v>
      </c>
      <c r="C157" t="s">
        <v>540</v>
      </c>
      <c r="D157" t="s">
        <v>56</v>
      </c>
      <c r="E157" t="s">
        <v>65</v>
      </c>
      <c r="F157" t="s">
        <v>57</v>
      </c>
      <c r="G157" t="s">
        <v>154</v>
      </c>
      <c r="H157" t="s">
        <v>68</v>
      </c>
      <c r="I157" s="2">
        <v>45601</v>
      </c>
      <c r="J157" t="s">
        <v>59</v>
      </c>
      <c r="K157" t="s">
        <v>69</v>
      </c>
      <c r="L157" t="s">
        <v>35</v>
      </c>
      <c r="M157" t="s">
        <v>36</v>
      </c>
      <c r="N157" s="3">
        <v>15977.82</v>
      </c>
      <c r="O157">
        <v>38</v>
      </c>
      <c r="P157" s="3">
        <v>607157.16</v>
      </c>
    </row>
    <row r="158" spans="1:16" x14ac:dyDescent="0.3">
      <c r="A158" t="s">
        <v>541</v>
      </c>
      <c r="B158" s="2">
        <v>45414</v>
      </c>
      <c r="C158" t="s">
        <v>542</v>
      </c>
      <c r="D158" t="s">
        <v>84</v>
      </c>
      <c r="E158" t="s">
        <v>85</v>
      </c>
      <c r="F158" t="s">
        <v>168</v>
      </c>
      <c r="G158" t="s">
        <v>543</v>
      </c>
      <c r="H158" t="s">
        <v>22</v>
      </c>
      <c r="I158" s="2">
        <v>45420</v>
      </c>
      <c r="J158" t="s">
        <v>122</v>
      </c>
      <c r="K158" t="s">
        <v>60</v>
      </c>
      <c r="L158" t="s">
        <v>210</v>
      </c>
      <c r="M158" t="s">
        <v>140</v>
      </c>
      <c r="N158" s="3">
        <v>13982.97</v>
      </c>
      <c r="O158">
        <v>41</v>
      </c>
      <c r="P158" s="3">
        <v>573301.77</v>
      </c>
    </row>
    <row r="159" spans="1:16" x14ac:dyDescent="0.3">
      <c r="A159" t="s">
        <v>544</v>
      </c>
      <c r="B159" s="2">
        <v>45364</v>
      </c>
      <c r="C159" t="s">
        <v>545</v>
      </c>
      <c r="D159" t="s">
        <v>157</v>
      </c>
      <c r="E159" t="s">
        <v>65</v>
      </c>
      <c r="F159" t="s">
        <v>31</v>
      </c>
      <c r="G159" t="s">
        <v>546</v>
      </c>
      <c r="H159" t="s">
        <v>22</v>
      </c>
      <c r="I159" s="2">
        <v>45372</v>
      </c>
      <c r="J159" t="s">
        <v>122</v>
      </c>
      <c r="K159" t="s">
        <v>44</v>
      </c>
      <c r="L159" t="s">
        <v>93</v>
      </c>
      <c r="M159" t="s">
        <v>94</v>
      </c>
      <c r="N159" s="3">
        <v>9026.42</v>
      </c>
      <c r="O159">
        <v>37</v>
      </c>
      <c r="P159" s="3">
        <v>333977.53999999998</v>
      </c>
    </row>
    <row r="160" spans="1:16" x14ac:dyDescent="0.3">
      <c r="A160" t="s">
        <v>547</v>
      </c>
      <c r="B160" s="2">
        <v>45435</v>
      </c>
      <c r="C160" t="s">
        <v>548</v>
      </c>
      <c r="D160" t="s">
        <v>157</v>
      </c>
      <c r="E160" t="s">
        <v>30</v>
      </c>
      <c r="F160" t="s">
        <v>168</v>
      </c>
      <c r="G160" t="s">
        <v>549</v>
      </c>
      <c r="H160" t="s">
        <v>43</v>
      </c>
      <c r="I160" s="2">
        <v>45445</v>
      </c>
      <c r="J160" t="s">
        <v>122</v>
      </c>
      <c r="K160" t="s">
        <v>69</v>
      </c>
      <c r="L160" t="s">
        <v>110</v>
      </c>
      <c r="M160" t="s">
        <v>111</v>
      </c>
      <c r="N160" s="3">
        <v>15503.64</v>
      </c>
      <c r="O160">
        <v>41</v>
      </c>
      <c r="P160" s="3">
        <v>635649.24</v>
      </c>
    </row>
    <row r="161" spans="1:16" x14ac:dyDescent="0.3">
      <c r="A161" t="s">
        <v>550</v>
      </c>
      <c r="B161" s="2">
        <v>45133</v>
      </c>
      <c r="C161" t="s">
        <v>551</v>
      </c>
      <c r="D161" t="s">
        <v>91</v>
      </c>
      <c r="E161" t="s">
        <v>19</v>
      </c>
      <c r="F161" t="s">
        <v>50</v>
      </c>
      <c r="G161" t="s">
        <v>552</v>
      </c>
      <c r="H161" t="s">
        <v>33</v>
      </c>
      <c r="I161" s="2">
        <v>45142</v>
      </c>
      <c r="J161" t="s">
        <v>23</v>
      </c>
      <c r="K161" t="s">
        <v>60</v>
      </c>
      <c r="L161" t="s">
        <v>139</v>
      </c>
      <c r="M161" t="s">
        <v>140</v>
      </c>
      <c r="N161" s="3">
        <v>9239.35</v>
      </c>
      <c r="O161">
        <v>19</v>
      </c>
      <c r="P161" s="3">
        <v>175547.65</v>
      </c>
    </row>
    <row r="162" spans="1:16" x14ac:dyDescent="0.3">
      <c r="A162" t="s">
        <v>553</v>
      </c>
      <c r="B162" s="2">
        <v>45274</v>
      </c>
      <c r="C162" t="s">
        <v>554</v>
      </c>
      <c r="D162" t="s">
        <v>91</v>
      </c>
      <c r="E162" t="s">
        <v>19</v>
      </c>
      <c r="F162" t="s">
        <v>75</v>
      </c>
      <c r="G162" t="s">
        <v>555</v>
      </c>
      <c r="H162" t="s">
        <v>33</v>
      </c>
      <c r="I162" s="2">
        <v>45276</v>
      </c>
      <c r="J162" t="s">
        <v>77</v>
      </c>
      <c r="K162" t="s">
        <v>44</v>
      </c>
      <c r="L162" t="s">
        <v>147</v>
      </c>
      <c r="M162" t="s">
        <v>71</v>
      </c>
      <c r="N162" s="3">
        <v>16938.37</v>
      </c>
      <c r="O162">
        <v>16</v>
      </c>
      <c r="P162" s="3">
        <v>271013.92</v>
      </c>
    </row>
    <row r="163" spans="1:16" x14ac:dyDescent="0.3">
      <c r="A163" t="s">
        <v>556</v>
      </c>
      <c r="B163" s="2">
        <v>44948</v>
      </c>
      <c r="C163" t="s">
        <v>557</v>
      </c>
      <c r="D163" t="s">
        <v>84</v>
      </c>
      <c r="E163" t="s">
        <v>30</v>
      </c>
      <c r="F163" t="s">
        <v>41</v>
      </c>
      <c r="G163" t="s">
        <v>558</v>
      </c>
      <c r="H163" t="s">
        <v>33</v>
      </c>
      <c r="I163" s="2">
        <v>44951</v>
      </c>
      <c r="J163" t="s">
        <v>23</v>
      </c>
      <c r="K163" t="s">
        <v>69</v>
      </c>
      <c r="L163" t="s">
        <v>129</v>
      </c>
      <c r="M163" t="s">
        <v>88</v>
      </c>
      <c r="N163" s="3">
        <v>4775.2700000000004</v>
      </c>
      <c r="O163">
        <v>42</v>
      </c>
      <c r="P163" s="3">
        <v>200561.34</v>
      </c>
    </row>
    <row r="164" spans="1:16" x14ac:dyDescent="0.3">
      <c r="A164" t="s">
        <v>559</v>
      </c>
      <c r="B164" s="2">
        <v>45545</v>
      </c>
      <c r="C164" t="s">
        <v>560</v>
      </c>
      <c r="D164" t="s">
        <v>56</v>
      </c>
      <c r="E164" t="s">
        <v>197</v>
      </c>
      <c r="F164" t="s">
        <v>41</v>
      </c>
      <c r="G164" t="s">
        <v>561</v>
      </c>
      <c r="H164" t="s">
        <v>43</v>
      </c>
      <c r="I164" s="2">
        <v>45554</v>
      </c>
      <c r="J164" t="s">
        <v>23</v>
      </c>
      <c r="K164" t="s">
        <v>44</v>
      </c>
      <c r="L164" t="s">
        <v>35</v>
      </c>
      <c r="M164" t="s">
        <v>36</v>
      </c>
      <c r="N164" s="3">
        <v>11842.77</v>
      </c>
      <c r="O164">
        <v>50</v>
      </c>
      <c r="P164" s="3">
        <v>592138.5</v>
      </c>
    </row>
    <row r="165" spans="1:16" x14ac:dyDescent="0.3">
      <c r="A165" t="s">
        <v>562</v>
      </c>
      <c r="B165" s="2">
        <v>45041</v>
      </c>
      <c r="C165" t="s">
        <v>563</v>
      </c>
      <c r="D165" t="s">
        <v>91</v>
      </c>
      <c r="E165" t="s">
        <v>114</v>
      </c>
      <c r="F165" t="s">
        <v>75</v>
      </c>
      <c r="G165" t="s">
        <v>564</v>
      </c>
      <c r="H165" t="s">
        <v>22</v>
      </c>
      <c r="I165" s="2">
        <v>45046</v>
      </c>
      <c r="J165" t="s">
        <v>122</v>
      </c>
      <c r="K165" t="s">
        <v>24</v>
      </c>
      <c r="L165" t="s">
        <v>110</v>
      </c>
      <c r="M165" t="s">
        <v>111</v>
      </c>
      <c r="N165" s="3">
        <v>16295.75</v>
      </c>
      <c r="O165">
        <v>5</v>
      </c>
      <c r="P165" s="3">
        <v>81478.75</v>
      </c>
    </row>
    <row r="166" spans="1:16" x14ac:dyDescent="0.3">
      <c r="A166" t="s">
        <v>565</v>
      </c>
      <c r="B166" s="2">
        <v>44941</v>
      </c>
      <c r="C166" t="s">
        <v>566</v>
      </c>
      <c r="D166" t="s">
        <v>18</v>
      </c>
      <c r="E166" t="s">
        <v>49</v>
      </c>
      <c r="F166" t="s">
        <v>108</v>
      </c>
      <c r="G166" t="s">
        <v>567</v>
      </c>
      <c r="H166" t="s">
        <v>33</v>
      </c>
      <c r="I166" s="2">
        <v>44950</v>
      </c>
      <c r="J166" t="s">
        <v>34</v>
      </c>
      <c r="K166" t="s">
        <v>69</v>
      </c>
      <c r="L166" t="s">
        <v>110</v>
      </c>
      <c r="M166" t="s">
        <v>111</v>
      </c>
      <c r="N166" s="3">
        <v>5457.05</v>
      </c>
      <c r="O166">
        <v>4</v>
      </c>
      <c r="P166" s="3">
        <v>21828.2</v>
      </c>
    </row>
    <row r="167" spans="1:16" x14ac:dyDescent="0.3">
      <c r="A167" t="s">
        <v>568</v>
      </c>
      <c r="B167" s="2">
        <v>45920</v>
      </c>
      <c r="C167" t="s">
        <v>569</v>
      </c>
      <c r="D167" t="s">
        <v>91</v>
      </c>
      <c r="E167" t="s">
        <v>114</v>
      </c>
      <c r="F167" t="s">
        <v>168</v>
      </c>
      <c r="G167" t="s">
        <v>385</v>
      </c>
      <c r="H167" t="s">
        <v>33</v>
      </c>
      <c r="I167" s="2">
        <v>45930</v>
      </c>
      <c r="J167" t="s">
        <v>59</v>
      </c>
      <c r="K167" t="s">
        <v>60</v>
      </c>
      <c r="L167" t="s">
        <v>147</v>
      </c>
      <c r="M167" t="s">
        <v>71</v>
      </c>
      <c r="N167" s="3">
        <v>2416.38</v>
      </c>
      <c r="O167">
        <v>15</v>
      </c>
      <c r="P167" s="3">
        <v>36245.699999999997</v>
      </c>
    </row>
    <row r="168" spans="1:16" x14ac:dyDescent="0.3">
      <c r="A168" t="s">
        <v>570</v>
      </c>
      <c r="B168" s="2">
        <v>45379</v>
      </c>
      <c r="C168" t="s">
        <v>571</v>
      </c>
      <c r="D168" t="s">
        <v>74</v>
      </c>
      <c r="E168" t="s">
        <v>85</v>
      </c>
      <c r="F168" t="s">
        <v>20</v>
      </c>
      <c r="G168" t="s">
        <v>572</v>
      </c>
      <c r="H168" t="s">
        <v>22</v>
      </c>
      <c r="I168" s="2">
        <v>45384</v>
      </c>
      <c r="J168" t="s">
        <v>122</v>
      </c>
      <c r="K168" t="s">
        <v>24</v>
      </c>
      <c r="L168" t="s">
        <v>93</v>
      </c>
      <c r="M168" t="s">
        <v>94</v>
      </c>
      <c r="N168" s="3">
        <v>9728.15</v>
      </c>
      <c r="O168">
        <v>42</v>
      </c>
      <c r="P168" s="3">
        <v>408582.3</v>
      </c>
    </row>
    <row r="169" spans="1:16" x14ac:dyDescent="0.3">
      <c r="A169" t="s">
        <v>573</v>
      </c>
      <c r="B169" s="2">
        <v>45263</v>
      </c>
      <c r="C169" t="s">
        <v>574</v>
      </c>
      <c r="D169" t="s">
        <v>29</v>
      </c>
      <c r="E169" t="s">
        <v>30</v>
      </c>
      <c r="F169" t="s">
        <v>31</v>
      </c>
      <c r="G169" t="s">
        <v>575</v>
      </c>
      <c r="H169" t="s">
        <v>68</v>
      </c>
      <c r="I169" s="2">
        <v>45270</v>
      </c>
      <c r="J169" t="s">
        <v>59</v>
      </c>
      <c r="K169" t="s">
        <v>69</v>
      </c>
      <c r="L169" t="s">
        <v>35</v>
      </c>
      <c r="M169" t="s">
        <v>36</v>
      </c>
      <c r="N169" s="3">
        <v>3728.81</v>
      </c>
      <c r="O169">
        <v>31</v>
      </c>
      <c r="P169" s="3">
        <v>115593.11</v>
      </c>
    </row>
    <row r="170" spans="1:16" x14ac:dyDescent="0.3">
      <c r="A170" t="s">
        <v>576</v>
      </c>
      <c r="B170" s="2">
        <v>45110</v>
      </c>
      <c r="C170" t="s">
        <v>577</v>
      </c>
      <c r="D170" t="s">
        <v>39</v>
      </c>
      <c r="E170" t="s">
        <v>40</v>
      </c>
      <c r="F170" t="s">
        <v>150</v>
      </c>
      <c r="G170" t="s">
        <v>578</v>
      </c>
      <c r="H170" t="s">
        <v>22</v>
      </c>
      <c r="I170" s="2">
        <v>45120</v>
      </c>
      <c r="J170" t="s">
        <v>34</v>
      </c>
      <c r="K170" t="s">
        <v>24</v>
      </c>
      <c r="L170" t="s">
        <v>35</v>
      </c>
      <c r="M170" t="s">
        <v>36</v>
      </c>
      <c r="N170" s="3">
        <v>19165.55</v>
      </c>
      <c r="O170">
        <v>43</v>
      </c>
      <c r="P170" s="3">
        <v>824118.65</v>
      </c>
    </row>
    <row r="171" spans="1:16" x14ac:dyDescent="0.3">
      <c r="A171" t="s">
        <v>579</v>
      </c>
      <c r="B171" s="2">
        <v>45393</v>
      </c>
      <c r="C171" t="s">
        <v>580</v>
      </c>
      <c r="D171" t="s">
        <v>56</v>
      </c>
      <c r="E171" t="s">
        <v>49</v>
      </c>
      <c r="F171" t="s">
        <v>31</v>
      </c>
      <c r="G171" t="s">
        <v>581</v>
      </c>
      <c r="H171" t="s">
        <v>68</v>
      </c>
      <c r="I171" s="2">
        <v>45399</v>
      </c>
      <c r="J171" t="s">
        <v>77</v>
      </c>
      <c r="K171" t="s">
        <v>44</v>
      </c>
      <c r="L171" t="s">
        <v>87</v>
      </c>
      <c r="M171" t="s">
        <v>88</v>
      </c>
      <c r="N171" s="3">
        <v>2284.7199999999998</v>
      </c>
      <c r="O171">
        <v>24</v>
      </c>
      <c r="P171" s="3">
        <v>54833.279999999999</v>
      </c>
    </row>
    <row r="172" spans="1:16" x14ac:dyDescent="0.3">
      <c r="A172" t="s">
        <v>582</v>
      </c>
      <c r="B172" s="2">
        <v>45276</v>
      </c>
      <c r="C172" t="s">
        <v>583</v>
      </c>
      <c r="D172" t="s">
        <v>190</v>
      </c>
      <c r="E172" t="s">
        <v>65</v>
      </c>
      <c r="F172" t="s">
        <v>75</v>
      </c>
      <c r="G172" t="s">
        <v>584</v>
      </c>
      <c r="H172" t="s">
        <v>43</v>
      </c>
      <c r="I172" s="2">
        <v>45277</v>
      </c>
      <c r="J172" t="s">
        <v>77</v>
      </c>
      <c r="K172" t="s">
        <v>44</v>
      </c>
      <c r="L172" t="s">
        <v>147</v>
      </c>
      <c r="M172" t="s">
        <v>71</v>
      </c>
      <c r="N172" s="3">
        <v>11474.03</v>
      </c>
      <c r="O172">
        <v>43</v>
      </c>
      <c r="P172" s="3">
        <v>493383.29</v>
      </c>
    </row>
    <row r="173" spans="1:16" x14ac:dyDescent="0.3">
      <c r="A173" t="s">
        <v>585</v>
      </c>
      <c r="B173" s="2">
        <v>45248</v>
      </c>
      <c r="C173" t="s">
        <v>586</v>
      </c>
      <c r="D173" t="s">
        <v>18</v>
      </c>
      <c r="E173" t="s">
        <v>85</v>
      </c>
      <c r="F173" t="s">
        <v>168</v>
      </c>
      <c r="G173" t="s">
        <v>587</v>
      </c>
      <c r="H173" t="s">
        <v>33</v>
      </c>
      <c r="I173" s="2">
        <v>45252</v>
      </c>
      <c r="J173" t="s">
        <v>59</v>
      </c>
      <c r="K173" t="s">
        <v>60</v>
      </c>
      <c r="L173" t="s">
        <v>87</v>
      </c>
      <c r="M173" t="s">
        <v>88</v>
      </c>
      <c r="N173" s="3">
        <v>2689.34</v>
      </c>
      <c r="O173">
        <v>23</v>
      </c>
      <c r="P173" s="3">
        <v>61854.820000000007</v>
      </c>
    </row>
    <row r="174" spans="1:16" x14ac:dyDescent="0.3">
      <c r="A174" t="s">
        <v>588</v>
      </c>
      <c r="B174" s="2">
        <v>44840</v>
      </c>
      <c r="C174" t="s">
        <v>589</v>
      </c>
      <c r="D174" t="s">
        <v>39</v>
      </c>
      <c r="E174" t="s">
        <v>19</v>
      </c>
      <c r="F174" t="s">
        <v>31</v>
      </c>
      <c r="G174" t="s">
        <v>590</v>
      </c>
      <c r="H174" t="s">
        <v>68</v>
      </c>
      <c r="I174" s="2">
        <v>44850</v>
      </c>
      <c r="J174" t="s">
        <v>34</v>
      </c>
      <c r="K174" t="s">
        <v>24</v>
      </c>
      <c r="L174" t="s">
        <v>110</v>
      </c>
      <c r="M174" t="s">
        <v>111</v>
      </c>
      <c r="N174" s="3">
        <v>8666.98</v>
      </c>
      <c r="O174">
        <v>12</v>
      </c>
      <c r="P174" s="3">
        <v>104003.76</v>
      </c>
    </row>
    <row r="175" spans="1:16" x14ac:dyDescent="0.3">
      <c r="A175" t="s">
        <v>591</v>
      </c>
      <c r="B175" s="2">
        <v>45237</v>
      </c>
      <c r="C175" t="s">
        <v>592</v>
      </c>
      <c r="D175" t="s">
        <v>84</v>
      </c>
      <c r="E175" t="s">
        <v>49</v>
      </c>
      <c r="F175" t="s">
        <v>108</v>
      </c>
      <c r="G175" t="s">
        <v>549</v>
      </c>
      <c r="H175" t="s">
        <v>43</v>
      </c>
      <c r="I175" s="2">
        <v>45238</v>
      </c>
      <c r="J175" t="s">
        <v>34</v>
      </c>
      <c r="K175" t="s">
        <v>44</v>
      </c>
      <c r="L175" t="s">
        <v>52</v>
      </c>
      <c r="M175" t="s">
        <v>53</v>
      </c>
      <c r="N175" s="3">
        <v>2029.81</v>
      </c>
      <c r="O175">
        <v>1</v>
      </c>
      <c r="P175" s="3">
        <v>2029.81</v>
      </c>
    </row>
    <row r="176" spans="1:16" x14ac:dyDescent="0.3">
      <c r="A176" t="s">
        <v>593</v>
      </c>
      <c r="B176" s="2">
        <v>44674</v>
      </c>
      <c r="C176" t="s">
        <v>594</v>
      </c>
      <c r="D176" t="s">
        <v>84</v>
      </c>
      <c r="E176" t="s">
        <v>107</v>
      </c>
      <c r="F176" t="s">
        <v>168</v>
      </c>
      <c r="G176" t="s">
        <v>595</v>
      </c>
      <c r="H176" t="s">
        <v>33</v>
      </c>
      <c r="I176" s="2">
        <v>44682</v>
      </c>
      <c r="J176" t="s">
        <v>23</v>
      </c>
      <c r="K176" t="s">
        <v>60</v>
      </c>
      <c r="L176" t="s">
        <v>70</v>
      </c>
      <c r="M176" t="s">
        <v>71</v>
      </c>
      <c r="N176" s="3">
        <v>13405.68</v>
      </c>
      <c r="O176">
        <v>17</v>
      </c>
      <c r="P176" s="3">
        <v>227896.56</v>
      </c>
    </row>
    <row r="177" spans="1:16" x14ac:dyDescent="0.3">
      <c r="A177" t="s">
        <v>596</v>
      </c>
      <c r="B177" s="2">
        <v>45032</v>
      </c>
      <c r="C177" t="s">
        <v>597</v>
      </c>
      <c r="D177" t="s">
        <v>29</v>
      </c>
      <c r="E177" t="s">
        <v>40</v>
      </c>
      <c r="F177" t="s">
        <v>31</v>
      </c>
      <c r="G177" t="s">
        <v>598</v>
      </c>
      <c r="H177" t="s">
        <v>33</v>
      </c>
      <c r="I177" s="2">
        <v>45041</v>
      </c>
      <c r="J177" t="s">
        <v>59</v>
      </c>
      <c r="K177" t="s">
        <v>24</v>
      </c>
      <c r="L177" t="s">
        <v>25</v>
      </c>
      <c r="M177" t="s">
        <v>26</v>
      </c>
      <c r="N177" s="3">
        <v>7296.1</v>
      </c>
      <c r="O177">
        <v>21</v>
      </c>
      <c r="P177" s="3">
        <v>153218.1</v>
      </c>
    </row>
    <row r="178" spans="1:16" x14ac:dyDescent="0.3">
      <c r="A178" t="s">
        <v>599</v>
      </c>
      <c r="B178" s="2">
        <v>45125</v>
      </c>
      <c r="C178" t="s">
        <v>600</v>
      </c>
      <c r="D178" t="s">
        <v>190</v>
      </c>
      <c r="E178" t="s">
        <v>30</v>
      </c>
      <c r="F178" t="s">
        <v>57</v>
      </c>
      <c r="G178" t="s">
        <v>601</v>
      </c>
      <c r="H178" t="s">
        <v>43</v>
      </c>
      <c r="I178" s="2">
        <v>45135</v>
      </c>
      <c r="J178" t="s">
        <v>122</v>
      </c>
      <c r="K178" t="s">
        <v>60</v>
      </c>
      <c r="L178" t="s">
        <v>52</v>
      </c>
      <c r="M178" t="s">
        <v>53</v>
      </c>
      <c r="N178" s="3">
        <v>12471.18</v>
      </c>
      <c r="O178">
        <v>17</v>
      </c>
      <c r="P178" s="3">
        <v>212010.06</v>
      </c>
    </row>
    <row r="179" spans="1:16" x14ac:dyDescent="0.3">
      <c r="A179" t="s">
        <v>602</v>
      </c>
      <c r="B179" s="2">
        <v>45220</v>
      </c>
      <c r="C179" t="s">
        <v>603</v>
      </c>
      <c r="D179" t="s">
        <v>29</v>
      </c>
      <c r="E179" t="s">
        <v>30</v>
      </c>
      <c r="F179" t="s">
        <v>57</v>
      </c>
      <c r="G179" t="s">
        <v>604</v>
      </c>
      <c r="H179" t="s">
        <v>33</v>
      </c>
      <c r="I179" s="2">
        <v>45229</v>
      </c>
      <c r="J179" t="s">
        <v>59</v>
      </c>
      <c r="K179" t="s">
        <v>69</v>
      </c>
      <c r="L179" t="s">
        <v>210</v>
      </c>
      <c r="M179" t="s">
        <v>140</v>
      </c>
      <c r="N179" s="3">
        <v>13030.37</v>
      </c>
      <c r="O179">
        <v>38</v>
      </c>
      <c r="P179" s="3">
        <v>495154.06000000011</v>
      </c>
    </row>
    <row r="180" spans="1:16" x14ac:dyDescent="0.3">
      <c r="A180" t="s">
        <v>605</v>
      </c>
      <c r="B180" s="2">
        <v>45325</v>
      </c>
      <c r="C180" t="s">
        <v>606</v>
      </c>
      <c r="D180" t="s">
        <v>164</v>
      </c>
      <c r="E180" t="s">
        <v>114</v>
      </c>
      <c r="F180" t="s">
        <v>75</v>
      </c>
      <c r="G180" t="s">
        <v>607</v>
      </c>
      <c r="H180" t="s">
        <v>43</v>
      </c>
      <c r="I180" s="2">
        <v>45334</v>
      </c>
      <c r="J180" t="s">
        <v>77</v>
      </c>
      <c r="K180" t="s">
        <v>60</v>
      </c>
      <c r="L180" t="s">
        <v>87</v>
      </c>
      <c r="M180" t="s">
        <v>88</v>
      </c>
      <c r="N180" s="3">
        <v>15647.92</v>
      </c>
      <c r="O180">
        <v>29</v>
      </c>
      <c r="P180" s="3">
        <v>453789.68</v>
      </c>
    </row>
    <row r="181" spans="1:16" x14ac:dyDescent="0.3">
      <c r="A181" t="s">
        <v>608</v>
      </c>
      <c r="B181" s="2">
        <v>45829</v>
      </c>
      <c r="C181" t="s">
        <v>609</v>
      </c>
      <c r="D181" t="s">
        <v>91</v>
      </c>
      <c r="E181" t="s">
        <v>65</v>
      </c>
      <c r="F181" t="s">
        <v>41</v>
      </c>
      <c r="G181" t="s">
        <v>590</v>
      </c>
      <c r="H181" t="s">
        <v>22</v>
      </c>
      <c r="I181" s="2">
        <v>45837</v>
      </c>
      <c r="J181" t="s">
        <v>77</v>
      </c>
      <c r="K181" t="s">
        <v>44</v>
      </c>
      <c r="L181" t="s">
        <v>250</v>
      </c>
      <c r="M181" t="s">
        <v>36</v>
      </c>
      <c r="N181" s="3">
        <v>13489.51</v>
      </c>
      <c r="O181">
        <v>23</v>
      </c>
      <c r="P181" s="3">
        <v>310258.73</v>
      </c>
    </row>
    <row r="182" spans="1:16" x14ac:dyDescent="0.3">
      <c r="A182" t="s">
        <v>610</v>
      </c>
      <c r="B182" s="2">
        <v>45831</v>
      </c>
      <c r="C182" t="s">
        <v>611</v>
      </c>
      <c r="D182" t="s">
        <v>74</v>
      </c>
      <c r="E182" t="s">
        <v>114</v>
      </c>
      <c r="F182" t="s">
        <v>108</v>
      </c>
      <c r="G182" t="s">
        <v>612</v>
      </c>
      <c r="H182" t="s">
        <v>33</v>
      </c>
      <c r="I182" s="2">
        <v>45833</v>
      </c>
      <c r="J182" t="s">
        <v>59</v>
      </c>
      <c r="K182" t="s">
        <v>69</v>
      </c>
      <c r="L182" t="s">
        <v>250</v>
      </c>
      <c r="M182" t="s">
        <v>36</v>
      </c>
      <c r="N182" s="3">
        <v>8945.0499999999993</v>
      </c>
      <c r="O182">
        <v>25</v>
      </c>
      <c r="P182" s="3">
        <v>223626.25</v>
      </c>
    </row>
    <row r="183" spans="1:16" x14ac:dyDescent="0.3">
      <c r="A183" t="s">
        <v>613</v>
      </c>
      <c r="B183" s="2">
        <v>45934</v>
      </c>
      <c r="C183" t="s">
        <v>614</v>
      </c>
      <c r="D183" t="s">
        <v>164</v>
      </c>
      <c r="E183" t="s">
        <v>197</v>
      </c>
      <c r="F183" t="s">
        <v>66</v>
      </c>
      <c r="G183" t="s">
        <v>216</v>
      </c>
      <c r="H183" t="s">
        <v>33</v>
      </c>
      <c r="I183" s="2">
        <v>45935</v>
      </c>
      <c r="J183" t="s">
        <v>122</v>
      </c>
      <c r="K183" t="s">
        <v>44</v>
      </c>
      <c r="L183" t="s">
        <v>93</v>
      </c>
      <c r="M183" t="s">
        <v>94</v>
      </c>
      <c r="N183" s="3">
        <v>11925.36</v>
      </c>
      <c r="O183">
        <v>20</v>
      </c>
      <c r="P183" s="3">
        <v>238507.2</v>
      </c>
    </row>
    <row r="184" spans="1:16" x14ac:dyDescent="0.3">
      <c r="A184" t="s">
        <v>615</v>
      </c>
      <c r="B184" s="2">
        <v>45420</v>
      </c>
      <c r="C184" t="s">
        <v>616</v>
      </c>
      <c r="D184" t="s">
        <v>29</v>
      </c>
      <c r="E184" t="s">
        <v>97</v>
      </c>
      <c r="F184" t="s">
        <v>150</v>
      </c>
      <c r="G184" t="s">
        <v>617</v>
      </c>
      <c r="H184" t="s">
        <v>33</v>
      </c>
      <c r="I184" s="2">
        <v>45421</v>
      </c>
      <c r="J184" t="s">
        <v>23</v>
      </c>
      <c r="K184" t="s">
        <v>69</v>
      </c>
      <c r="L184" t="s">
        <v>78</v>
      </c>
      <c r="M184" t="s">
        <v>71</v>
      </c>
      <c r="N184" s="3">
        <v>12098.69</v>
      </c>
      <c r="O184">
        <v>37</v>
      </c>
      <c r="P184" s="3">
        <v>447651.53</v>
      </c>
    </row>
    <row r="185" spans="1:16" x14ac:dyDescent="0.3">
      <c r="A185" t="s">
        <v>618</v>
      </c>
      <c r="B185" s="2">
        <v>45513</v>
      </c>
      <c r="C185" t="s">
        <v>619</v>
      </c>
      <c r="D185" t="s">
        <v>39</v>
      </c>
      <c r="E185" t="s">
        <v>85</v>
      </c>
      <c r="F185" t="s">
        <v>108</v>
      </c>
      <c r="G185" t="s">
        <v>620</v>
      </c>
      <c r="H185" t="s">
        <v>22</v>
      </c>
      <c r="I185" s="2">
        <v>45522</v>
      </c>
      <c r="J185" t="s">
        <v>122</v>
      </c>
      <c r="K185" t="s">
        <v>44</v>
      </c>
      <c r="L185" t="s">
        <v>61</v>
      </c>
      <c r="M185" t="s">
        <v>62</v>
      </c>
      <c r="N185" s="3">
        <v>12986.83</v>
      </c>
      <c r="O185">
        <v>24</v>
      </c>
      <c r="P185" s="3">
        <v>311683.92</v>
      </c>
    </row>
    <row r="186" spans="1:16" x14ac:dyDescent="0.3">
      <c r="A186" t="s">
        <v>621</v>
      </c>
      <c r="B186" s="2">
        <v>44615</v>
      </c>
      <c r="C186" t="s">
        <v>622</v>
      </c>
      <c r="D186" t="s">
        <v>74</v>
      </c>
      <c r="E186" t="s">
        <v>97</v>
      </c>
      <c r="F186" t="s">
        <v>50</v>
      </c>
      <c r="G186" t="s">
        <v>434</v>
      </c>
      <c r="H186" t="s">
        <v>33</v>
      </c>
      <c r="I186" s="2">
        <v>44617</v>
      </c>
      <c r="J186" t="s">
        <v>122</v>
      </c>
      <c r="K186" t="s">
        <v>60</v>
      </c>
      <c r="L186" t="s">
        <v>147</v>
      </c>
      <c r="M186" t="s">
        <v>71</v>
      </c>
      <c r="N186" s="3">
        <v>4040.33</v>
      </c>
      <c r="O186">
        <v>10</v>
      </c>
      <c r="P186" s="3">
        <v>40403.300000000003</v>
      </c>
    </row>
    <row r="187" spans="1:16" x14ac:dyDescent="0.3">
      <c r="A187" t="s">
        <v>623</v>
      </c>
      <c r="B187" s="2">
        <v>44889</v>
      </c>
      <c r="C187" t="s">
        <v>624</v>
      </c>
      <c r="D187" t="s">
        <v>18</v>
      </c>
      <c r="E187" t="s">
        <v>40</v>
      </c>
      <c r="F187" t="s">
        <v>66</v>
      </c>
      <c r="G187" t="s">
        <v>625</v>
      </c>
      <c r="H187" t="s">
        <v>22</v>
      </c>
      <c r="I187" s="2">
        <v>44890</v>
      </c>
      <c r="J187" t="s">
        <v>23</v>
      </c>
      <c r="K187" t="s">
        <v>44</v>
      </c>
      <c r="L187" t="s">
        <v>61</v>
      </c>
      <c r="M187" t="s">
        <v>62</v>
      </c>
      <c r="N187" s="3">
        <v>14532.57</v>
      </c>
      <c r="O187">
        <v>37</v>
      </c>
      <c r="P187" s="3">
        <v>537705.09</v>
      </c>
    </row>
    <row r="188" spans="1:16" x14ac:dyDescent="0.3">
      <c r="A188" t="s">
        <v>626</v>
      </c>
      <c r="B188" s="2">
        <v>45023</v>
      </c>
      <c r="C188" t="s">
        <v>627</v>
      </c>
      <c r="D188" t="s">
        <v>91</v>
      </c>
      <c r="E188" t="s">
        <v>197</v>
      </c>
      <c r="F188" t="s">
        <v>20</v>
      </c>
      <c r="G188" t="s">
        <v>628</v>
      </c>
      <c r="H188" t="s">
        <v>22</v>
      </c>
      <c r="I188" s="2">
        <v>45025</v>
      </c>
      <c r="J188" t="s">
        <v>77</v>
      </c>
      <c r="K188" t="s">
        <v>60</v>
      </c>
      <c r="L188" t="s">
        <v>129</v>
      </c>
      <c r="M188" t="s">
        <v>88</v>
      </c>
      <c r="N188" s="3">
        <v>16274.45</v>
      </c>
      <c r="O188">
        <v>31</v>
      </c>
      <c r="P188" s="3">
        <v>504507.95</v>
      </c>
    </row>
    <row r="189" spans="1:16" x14ac:dyDescent="0.3">
      <c r="A189" t="s">
        <v>629</v>
      </c>
      <c r="B189" s="2">
        <v>45872</v>
      </c>
      <c r="C189" t="s">
        <v>630</v>
      </c>
      <c r="D189" t="s">
        <v>157</v>
      </c>
      <c r="E189" t="s">
        <v>65</v>
      </c>
      <c r="F189" t="s">
        <v>57</v>
      </c>
      <c r="G189" t="s">
        <v>631</v>
      </c>
      <c r="H189" t="s">
        <v>43</v>
      </c>
      <c r="I189" s="2">
        <v>45876</v>
      </c>
      <c r="J189" t="s">
        <v>77</v>
      </c>
      <c r="K189" t="s">
        <v>60</v>
      </c>
      <c r="L189" t="s">
        <v>129</v>
      </c>
      <c r="M189" t="s">
        <v>88</v>
      </c>
      <c r="N189" s="3">
        <v>19385.150000000001</v>
      </c>
      <c r="O189">
        <v>20</v>
      </c>
      <c r="P189" s="3">
        <v>387703</v>
      </c>
    </row>
    <row r="190" spans="1:16" x14ac:dyDescent="0.3">
      <c r="A190" t="s">
        <v>632</v>
      </c>
      <c r="B190" s="2">
        <v>45540</v>
      </c>
      <c r="C190" t="s">
        <v>633</v>
      </c>
      <c r="D190" t="s">
        <v>84</v>
      </c>
      <c r="E190" t="s">
        <v>65</v>
      </c>
      <c r="F190" t="s">
        <v>66</v>
      </c>
      <c r="G190" t="s">
        <v>634</v>
      </c>
      <c r="H190" t="s">
        <v>43</v>
      </c>
      <c r="I190" s="2">
        <v>45550</v>
      </c>
      <c r="J190" t="s">
        <v>34</v>
      </c>
      <c r="K190" t="s">
        <v>69</v>
      </c>
      <c r="L190" t="s">
        <v>78</v>
      </c>
      <c r="M190" t="s">
        <v>71</v>
      </c>
      <c r="N190" s="3">
        <v>16050.39</v>
      </c>
      <c r="O190">
        <v>32</v>
      </c>
      <c r="P190" s="3">
        <v>513612.48</v>
      </c>
    </row>
    <row r="191" spans="1:16" x14ac:dyDescent="0.3">
      <c r="A191" t="s">
        <v>635</v>
      </c>
      <c r="B191" s="2">
        <v>45756</v>
      </c>
      <c r="C191" t="s">
        <v>636</v>
      </c>
      <c r="D191" t="s">
        <v>84</v>
      </c>
      <c r="E191" t="s">
        <v>97</v>
      </c>
      <c r="F191" t="s">
        <v>66</v>
      </c>
      <c r="G191" t="s">
        <v>637</v>
      </c>
      <c r="H191" t="s">
        <v>68</v>
      </c>
      <c r="I191" s="2">
        <v>45757</v>
      </c>
      <c r="J191" t="s">
        <v>122</v>
      </c>
      <c r="K191" t="s">
        <v>69</v>
      </c>
      <c r="L191" t="s">
        <v>147</v>
      </c>
      <c r="M191" t="s">
        <v>71</v>
      </c>
      <c r="N191" s="3">
        <v>8995.9500000000007</v>
      </c>
      <c r="O191">
        <v>27</v>
      </c>
      <c r="P191" s="3">
        <v>242890.65</v>
      </c>
    </row>
    <row r="192" spans="1:16" x14ac:dyDescent="0.3">
      <c r="A192" t="s">
        <v>638</v>
      </c>
      <c r="B192" s="2">
        <v>45840</v>
      </c>
      <c r="C192" t="s">
        <v>639</v>
      </c>
      <c r="D192" t="s">
        <v>56</v>
      </c>
      <c r="E192" t="s">
        <v>97</v>
      </c>
      <c r="F192" t="s">
        <v>66</v>
      </c>
      <c r="G192" t="s">
        <v>640</v>
      </c>
      <c r="H192" t="s">
        <v>68</v>
      </c>
      <c r="I192" s="2">
        <v>45845</v>
      </c>
      <c r="J192" t="s">
        <v>122</v>
      </c>
      <c r="K192" t="s">
        <v>60</v>
      </c>
      <c r="L192" t="s">
        <v>45</v>
      </c>
      <c r="M192" t="s">
        <v>46</v>
      </c>
      <c r="N192" s="3">
        <v>5868.97</v>
      </c>
      <c r="O192">
        <v>42</v>
      </c>
      <c r="P192" s="3">
        <v>246496.74</v>
      </c>
    </row>
    <row r="193" spans="1:16" x14ac:dyDescent="0.3">
      <c r="A193" t="s">
        <v>641</v>
      </c>
      <c r="B193" s="2">
        <v>45545</v>
      </c>
      <c r="C193" t="s">
        <v>642</v>
      </c>
      <c r="D193" t="s">
        <v>29</v>
      </c>
      <c r="E193" t="s">
        <v>65</v>
      </c>
      <c r="F193" t="s">
        <v>66</v>
      </c>
      <c r="G193" t="s">
        <v>643</v>
      </c>
      <c r="H193" t="s">
        <v>22</v>
      </c>
      <c r="I193" s="2">
        <v>45552</v>
      </c>
      <c r="J193" t="s">
        <v>34</v>
      </c>
      <c r="K193" t="s">
        <v>69</v>
      </c>
      <c r="L193" t="s">
        <v>52</v>
      </c>
      <c r="M193" t="s">
        <v>53</v>
      </c>
      <c r="N193" s="3">
        <v>4429.0600000000004</v>
      </c>
      <c r="O193">
        <v>32</v>
      </c>
      <c r="P193" s="3">
        <v>141729.92000000001</v>
      </c>
    </row>
    <row r="194" spans="1:16" x14ac:dyDescent="0.3">
      <c r="A194" t="s">
        <v>644</v>
      </c>
      <c r="B194" s="2">
        <v>45672</v>
      </c>
      <c r="C194" t="s">
        <v>645</v>
      </c>
      <c r="D194" t="s">
        <v>18</v>
      </c>
      <c r="E194" t="s">
        <v>97</v>
      </c>
      <c r="F194" t="s">
        <v>168</v>
      </c>
      <c r="G194" t="s">
        <v>646</v>
      </c>
      <c r="H194" t="s">
        <v>43</v>
      </c>
      <c r="I194" s="2">
        <v>45677</v>
      </c>
      <c r="J194" t="s">
        <v>59</v>
      </c>
      <c r="K194" t="s">
        <v>69</v>
      </c>
      <c r="L194" t="s">
        <v>61</v>
      </c>
      <c r="M194" t="s">
        <v>62</v>
      </c>
      <c r="N194" s="3">
        <v>7448.95</v>
      </c>
      <c r="O194">
        <v>20</v>
      </c>
      <c r="P194" s="3">
        <v>148979</v>
      </c>
    </row>
    <row r="195" spans="1:16" x14ac:dyDescent="0.3">
      <c r="A195" t="s">
        <v>647</v>
      </c>
      <c r="B195" s="2">
        <v>45574</v>
      </c>
      <c r="C195" t="s">
        <v>648</v>
      </c>
      <c r="D195" t="s">
        <v>164</v>
      </c>
      <c r="E195" t="s">
        <v>85</v>
      </c>
      <c r="F195" t="s">
        <v>20</v>
      </c>
      <c r="G195" t="s">
        <v>649</v>
      </c>
      <c r="H195" t="s">
        <v>43</v>
      </c>
      <c r="I195" s="2">
        <v>45575</v>
      </c>
      <c r="J195" t="s">
        <v>23</v>
      </c>
      <c r="K195" t="s">
        <v>44</v>
      </c>
      <c r="L195" t="s">
        <v>70</v>
      </c>
      <c r="M195" t="s">
        <v>71</v>
      </c>
      <c r="N195" s="3">
        <v>5385.55</v>
      </c>
      <c r="O195">
        <v>48</v>
      </c>
      <c r="P195" s="3">
        <v>258506.4</v>
      </c>
    </row>
    <row r="196" spans="1:16" x14ac:dyDescent="0.3">
      <c r="A196" t="s">
        <v>650</v>
      </c>
      <c r="B196" s="2">
        <v>45001</v>
      </c>
      <c r="C196" t="s">
        <v>651</v>
      </c>
      <c r="D196" t="s">
        <v>164</v>
      </c>
      <c r="E196" t="s">
        <v>107</v>
      </c>
      <c r="F196" t="s">
        <v>75</v>
      </c>
      <c r="G196" t="s">
        <v>184</v>
      </c>
      <c r="H196" t="s">
        <v>43</v>
      </c>
      <c r="I196" s="2">
        <v>45007</v>
      </c>
      <c r="J196" t="s">
        <v>23</v>
      </c>
      <c r="K196" t="s">
        <v>24</v>
      </c>
      <c r="L196" t="s">
        <v>25</v>
      </c>
      <c r="M196" t="s">
        <v>26</v>
      </c>
      <c r="N196" s="3">
        <v>3266.73</v>
      </c>
      <c r="O196">
        <v>36</v>
      </c>
      <c r="P196" s="3">
        <v>117602.28</v>
      </c>
    </row>
    <row r="197" spans="1:16" x14ac:dyDescent="0.3">
      <c r="A197" t="s">
        <v>652</v>
      </c>
      <c r="B197" s="2">
        <v>45078</v>
      </c>
      <c r="C197" t="s">
        <v>653</v>
      </c>
      <c r="D197" t="s">
        <v>157</v>
      </c>
      <c r="E197" t="s">
        <v>19</v>
      </c>
      <c r="F197" t="s">
        <v>66</v>
      </c>
      <c r="G197" t="s">
        <v>654</v>
      </c>
      <c r="H197" t="s">
        <v>33</v>
      </c>
      <c r="I197" s="2">
        <v>45087</v>
      </c>
      <c r="J197" t="s">
        <v>23</v>
      </c>
      <c r="K197" t="s">
        <v>24</v>
      </c>
      <c r="L197" t="s">
        <v>52</v>
      </c>
      <c r="M197" t="s">
        <v>53</v>
      </c>
      <c r="N197" s="3">
        <v>9303.94</v>
      </c>
      <c r="O197">
        <v>14</v>
      </c>
      <c r="P197" s="3">
        <v>130255.16</v>
      </c>
    </row>
    <row r="198" spans="1:16" x14ac:dyDescent="0.3">
      <c r="A198" t="s">
        <v>655</v>
      </c>
      <c r="B198" s="2">
        <v>45641</v>
      </c>
      <c r="C198" t="s">
        <v>656</v>
      </c>
      <c r="D198" t="s">
        <v>84</v>
      </c>
      <c r="E198" t="s">
        <v>19</v>
      </c>
      <c r="F198" t="s">
        <v>66</v>
      </c>
      <c r="G198" t="s">
        <v>657</v>
      </c>
      <c r="H198" t="s">
        <v>33</v>
      </c>
      <c r="I198" s="2">
        <v>45644</v>
      </c>
      <c r="J198" t="s">
        <v>23</v>
      </c>
      <c r="K198" t="s">
        <v>24</v>
      </c>
      <c r="L198" t="s">
        <v>61</v>
      </c>
      <c r="M198" t="s">
        <v>62</v>
      </c>
      <c r="N198" s="3">
        <v>18733.5</v>
      </c>
      <c r="O198">
        <v>19</v>
      </c>
      <c r="P198" s="3">
        <v>355936.5</v>
      </c>
    </row>
    <row r="199" spans="1:16" x14ac:dyDescent="0.3">
      <c r="A199" t="s">
        <v>658</v>
      </c>
      <c r="B199" s="2">
        <v>45298</v>
      </c>
      <c r="C199" t="s">
        <v>659</v>
      </c>
      <c r="D199" t="s">
        <v>18</v>
      </c>
      <c r="E199" t="s">
        <v>114</v>
      </c>
      <c r="F199" t="s">
        <v>150</v>
      </c>
      <c r="G199" t="s">
        <v>660</v>
      </c>
      <c r="H199" t="s">
        <v>68</v>
      </c>
      <c r="I199" s="2">
        <v>45303</v>
      </c>
      <c r="J199" t="s">
        <v>34</v>
      </c>
      <c r="K199" t="s">
        <v>60</v>
      </c>
      <c r="L199" t="s">
        <v>45</v>
      </c>
      <c r="M199" t="s">
        <v>46</v>
      </c>
      <c r="N199" s="3">
        <v>6301.66</v>
      </c>
      <c r="O199">
        <v>5</v>
      </c>
      <c r="P199" s="3">
        <v>31508.3</v>
      </c>
    </row>
    <row r="200" spans="1:16" x14ac:dyDescent="0.3">
      <c r="A200" t="s">
        <v>661</v>
      </c>
      <c r="B200" s="2">
        <v>45510</v>
      </c>
      <c r="C200" t="s">
        <v>662</v>
      </c>
      <c r="D200" t="s">
        <v>157</v>
      </c>
      <c r="E200" t="s">
        <v>30</v>
      </c>
      <c r="F200" t="s">
        <v>41</v>
      </c>
      <c r="G200" t="s">
        <v>663</v>
      </c>
      <c r="H200" t="s">
        <v>68</v>
      </c>
      <c r="I200" s="2">
        <v>45512</v>
      </c>
      <c r="J200" t="s">
        <v>59</v>
      </c>
      <c r="K200" t="s">
        <v>24</v>
      </c>
      <c r="L200" t="s">
        <v>78</v>
      </c>
      <c r="M200" t="s">
        <v>71</v>
      </c>
      <c r="N200" s="3">
        <v>13273.13</v>
      </c>
      <c r="O200">
        <v>36</v>
      </c>
      <c r="P200" s="3">
        <v>477832.68</v>
      </c>
    </row>
    <row r="201" spans="1:16" x14ac:dyDescent="0.3">
      <c r="A201" t="s">
        <v>664</v>
      </c>
      <c r="B201" s="2">
        <v>45233</v>
      </c>
      <c r="C201" t="s">
        <v>665</v>
      </c>
      <c r="D201" t="s">
        <v>190</v>
      </c>
      <c r="E201" t="s">
        <v>19</v>
      </c>
      <c r="F201" t="s">
        <v>50</v>
      </c>
      <c r="G201" t="s">
        <v>666</v>
      </c>
      <c r="H201" t="s">
        <v>68</v>
      </c>
      <c r="I201" s="2">
        <v>45239</v>
      </c>
      <c r="J201" t="s">
        <v>23</v>
      </c>
      <c r="K201" t="s">
        <v>24</v>
      </c>
      <c r="L201" t="s">
        <v>45</v>
      </c>
      <c r="M201" t="s">
        <v>46</v>
      </c>
      <c r="N201" s="3">
        <v>11349.21</v>
      </c>
      <c r="O201">
        <v>50</v>
      </c>
      <c r="P201" s="3">
        <v>567460.5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CD1D-ABB0-4D0A-B3E9-95C30003F31E}">
  <dimension ref="A3:O47"/>
  <sheetViews>
    <sheetView topLeftCell="D13" workbookViewId="0">
      <selection activeCell="K25" sqref="K25"/>
    </sheetView>
  </sheetViews>
  <sheetFormatPr baseColWidth="10" defaultRowHeight="14.4" x14ac:dyDescent="0.3"/>
  <cols>
    <col min="1" max="1" width="16.5546875" bestFit="1" customWidth="1"/>
    <col min="2" max="2" width="19.77734375" bestFit="1" customWidth="1"/>
    <col min="11" max="11" width="17" bestFit="1" customWidth="1"/>
    <col min="12" max="12" width="19.77734375" bestFit="1" customWidth="1"/>
    <col min="14" max="14" width="17" bestFit="1" customWidth="1"/>
    <col min="15" max="15" width="12.44140625" bestFit="1" customWidth="1"/>
  </cols>
  <sheetData>
    <row r="3" spans="1:12" x14ac:dyDescent="0.3">
      <c r="A3" s="4" t="s">
        <v>667</v>
      </c>
      <c r="B3" t="s">
        <v>681</v>
      </c>
      <c r="K3" s="4" t="s">
        <v>667</v>
      </c>
      <c r="L3" t="s">
        <v>681</v>
      </c>
    </row>
    <row r="4" spans="1:12" x14ac:dyDescent="0.3">
      <c r="A4" s="5" t="s">
        <v>669</v>
      </c>
      <c r="B4" s="6">
        <v>2797513.34</v>
      </c>
      <c r="K4" s="5" t="s">
        <v>26</v>
      </c>
      <c r="L4" s="6">
        <v>5052815.51</v>
      </c>
    </row>
    <row r="5" spans="1:12" x14ac:dyDescent="0.3">
      <c r="A5" s="5" t="s">
        <v>670</v>
      </c>
      <c r="B5" s="6">
        <v>8381581.1800000006</v>
      </c>
      <c r="K5" s="5" t="s">
        <v>62</v>
      </c>
      <c r="L5" s="6">
        <v>3948630.32</v>
      </c>
    </row>
    <row r="6" spans="1:12" x14ac:dyDescent="0.3">
      <c r="A6" s="5" t="s">
        <v>671</v>
      </c>
      <c r="B6" s="6">
        <v>3514550.4999999995</v>
      </c>
      <c r="K6" s="5" t="s">
        <v>88</v>
      </c>
      <c r="L6" s="6">
        <v>6852937.0300000003</v>
      </c>
    </row>
    <row r="7" spans="1:12" x14ac:dyDescent="0.3">
      <c r="A7" s="5" t="s">
        <v>672</v>
      </c>
      <c r="B7" s="6">
        <v>2754211.55</v>
      </c>
      <c r="K7" s="5" t="s">
        <v>94</v>
      </c>
      <c r="L7" s="6">
        <v>3460611.0999999996</v>
      </c>
    </row>
    <row r="8" spans="1:12" x14ac:dyDescent="0.3">
      <c r="A8" s="5" t="s">
        <v>673</v>
      </c>
      <c r="B8" s="6">
        <v>4493635.45</v>
      </c>
      <c r="K8" s="5" t="s">
        <v>46</v>
      </c>
      <c r="L8" s="6">
        <v>2376580.16</v>
      </c>
    </row>
    <row r="9" spans="1:12" x14ac:dyDescent="0.3">
      <c r="A9" s="5" t="s">
        <v>674</v>
      </c>
      <c r="B9" s="6">
        <v>5461420.9200000018</v>
      </c>
      <c r="K9" s="5" t="s">
        <v>71</v>
      </c>
      <c r="L9" s="6">
        <v>14135504.760000004</v>
      </c>
    </row>
    <row r="10" spans="1:12" x14ac:dyDescent="0.3">
      <c r="A10" s="5" t="s">
        <v>675</v>
      </c>
      <c r="B10" s="6">
        <v>4325095.0699999994</v>
      </c>
      <c r="K10" s="5" t="s">
        <v>53</v>
      </c>
      <c r="L10" s="6">
        <v>3049021.87</v>
      </c>
    </row>
    <row r="11" spans="1:12" x14ac:dyDescent="0.3">
      <c r="A11" s="5" t="s">
        <v>676</v>
      </c>
      <c r="B11" s="6">
        <v>4488616.9400000004</v>
      </c>
      <c r="K11" s="5" t="s">
        <v>140</v>
      </c>
      <c r="L11" s="6">
        <v>4087895.95</v>
      </c>
    </row>
    <row r="12" spans="1:12" x14ac:dyDescent="0.3">
      <c r="A12" s="5" t="s">
        <v>677</v>
      </c>
      <c r="B12" s="6">
        <v>5304150.3499999996</v>
      </c>
      <c r="K12" s="5" t="s">
        <v>111</v>
      </c>
      <c r="L12" s="6">
        <v>2110497.4199999995</v>
      </c>
    </row>
    <row r="13" spans="1:12" x14ac:dyDescent="0.3">
      <c r="A13" s="5" t="s">
        <v>678</v>
      </c>
      <c r="B13" s="6">
        <v>4802823.7400000012</v>
      </c>
      <c r="K13" s="5" t="s">
        <v>36</v>
      </c>
      <c r="L13" s="6">
        <v>9337373.0299999993</v>
      </c>
    </row>
    <row r="14" spans="1:12" x14ac:dyDescent="0.3">
      <c r="A14" s="5" t="s">
        <v>679</v>
      </c>
      <c r="B14" s="6">
        <v>4232512.3099999987</v>
      </c>
      <c r="K14" s="5" t="s">
        <v>668</v>
      </c>
      <c r="L14" s="6">
        <v>54411867.150000006</v>
      </c>
    </row>
    <row r="15" spans="1:12" x14ac:dyDescent="0.3">
      <c r="A15" s="5" t="s">
        <v>680</v>
      </c>
      <c r="B15" s="6">
        <v>3855755.7999999993</v>
      </c>
    </row>
    <row r="16" spans="1:12" x14ac:dyDescent="0.3">
      <c r="A16" s="5" t="s">
        <v>668</v>
      </c>
      <c r="B16" s="6">
        <v>54411867.150000006</v>
      </c>
    </row>
    <row r="21" spans="1:15" x14ac:dyDescent="0.3">
      <c r="K21" s="4" t="s">
        <v>667</v>
      </c>
      <c r="L21" t="s">
        <v>681</v>
      </c>
      <c r="N21" t="s">
        <v>5</v>
      </c>
      <c r="O21" t="s">
        <v>682</v>
      </c>
    </row>
    <row r="22" spans="1:15" x14ac:dyDescent="0.3">
      <c r="K22" s="5" t="s">
        <v>75</v>
      </c>
      <c r="L22" s="6">
        <v>3668694.3200000003</v>
      </c>
      <c r="N22" s="5" t="s">
        <v>75</v>
      </c>
      <c r="O22" s="6">
        <f>GETPIVOTDATA("Ingreso Total",$K$21,"Departamento","Antioquia")</f>
        <v>3668694.3200000003</v>
      </c>
    </row>
    <row r="23" spans="1:15" x14ac:dyDescent="0.3">
      <c r="A23" s="4" t="s">
        <v>667</v>
      </c>
      <c r="B23" t="s">
        <v>681</v>
      </c>
      <c r="K23" s="5" t="s">
        <v>108</v>
      </c>
      <c r="L23" s="6">
        <v>3229143.22</v>
      </c>
      <c r="N23" s="5" t="s">
        <v>108</v>
      </c>
      <c r="O23" s="6">
        <f>GETPIVOTDATA("Ingreso Total",$K$21,"Departamento","Atlántico")</f>
        <v>3229143.22</v>
      </c>
    </row>
    <row r="24" spans="1:15" x14ac:dyDescent="0.3">
      <c r="A24" s="5" t="s">
        <v>84</v>
      </c>
      <c r="B24" s="6">
        <v>5699234.709999999</v>
      </c>
      <c r="K24" s="5" t="s">
        <v>57</v>
      </c>
      <c r="L24" s="6">
        <v>6222268.9100000001</v>
      </c>
      <c r="N24" s="5" t="s">
        <v>57</v>
      </c>
      <c r="O24" s="6">
        <f>GETPIVOTDATA("Ingreso Total",$K$21,"Departamento","Bolívar")</f>
        <v>6222268.9100000001</v>
      </c>
    </row>
    <row r="25" spans="1:15" x14ac:dyDescent="0.3">
      <c r="A25" s="5" t="s">
        <v>56</v>
      </c>
      <c r="B25" s="6">
        <v>5541509.0199999996</v>
      </c>
      <c r="K25" s="5" t="s">
        <v>66</v>
      </c>
      <c r="L25" s="6">
        <v>9217097.2699999996</v>
      </c>
      <c r="N25" s="5" t="s">
        <v>66</v>
      </c>
      <c r="O25" s="6">
        <f>GETPIVOTDATA("Ingreso Total",$K$21,"Departamento","Caldas")</f>
        <v>9217097.2699999996</v>
      </c>
    </row>
    <row r="26" spans="1:15" x14ac:dyDescent="0.3">
      <c r="A26" s="5" t="s">
        <v>74</v>
      </c>
      <c r="B26" s="6">
        <v>6344249.9699999988</v>
      </c>
      <c r="K26" s="5" t="s">
        <v>150</v>
      </c>
      <c r="L26" s="6">
        <v>4789299.54</v>
      </c>
      <c r="N26" s="5" t="s">
        <v>150</v>
      </c>
      <c r="O26" s="6">
        <f>GETPIVOTDATA("Ingreso Total",$K$21,"Departamento","Cundinamarca")</f>
        <v>4789299.54</v>
      </c>
    </row>
    <row r="27" spans="1:15" x14ac:dyDescent="0.3">
      <c r="A27" s="5" t="s">
        <v>157</v>
      </c>
      <c r="B27" s="6">
        <v>4287070.3299999991</v>
      </c>
      <c r="K27" s="5" t="s">
        <v>168</v>
      </c>
      <c r="L27" s="6">
        <v>5410140.129999999</v>
      </c>
      <c r="N27" s="5" t="s">
        <v>168</v>
      </c>
      <c r="O27" s="6">
        <f>GETPIVOTDATA("Ingreso Total",$K$21,"Departamento","Magdalena")</f>
        <v>5410140.129999999</v>
      </c>
    </row>
    <row r="28" spans="1:15" x14ac:dyDescent="0.3">
      <c r="A28" s="5" t="s">
        <v>190</v>
      </c>
      <c r="B28" s="6">
        <v>3028256.47</v>
      </c>
      <c r="K28" s="5" t="s">
        <v>50</v>
      </c>
      <c r="L28" s="6">
        <v>4609701.669999999</v>
      </c>
      <c r="N28" s="5" t="s">
        <v>50</v>
      </c>
      <c r="O28" s="6">
        <f>GETPIVOTDATA("Ingreso Total",$K$21,"Departamento","Norte de Santander")</f>
        <v>4609701.669999999</v>
      </c>
    </row>
    <row r="29" spans="1:15" x14ac:dyDescent="0.3">
      <c r="A29" s="5" t="s">
        <v>18</v>
      </c>
      <c r="B29" s="6">
        <v>3656718.0099999993</v>
      </c>
      <c r="K29" s="5" t="s">
        <v>20</v>
      </c>
      <c r="L29" s="6">
        <v>5293554.5100000007</v>
      </c>
      <c r="N29" s="5" t="s">
        <v>20</v>
      </c>
      <c r="O29" s="6">
        <f>GETPIVOTDATA("Ingreso Total",$K$21,"Departamento","Risaralda")</f>
        <v>5293554.5100000007</v>
      </c>
    </row>
    <row r="30" spans="1:15" x14ac:dyDescent="0.3">
      <c r="A30" s="5" t="s">
        <v>91</v>
      </c>
      <c r="B30" s="6">
        <v>6159174.330000001</v>
      </c>
      <c r="K30" s="5" t="s">
        <v>31</v>
      </c>
      <c r="L30" s="6">
        <v>5335697.09</v>
      </c>
      <c r="N30" s="5" t="s">
        <v>31</v>
      </c>
      <c r="O30" s="6">
        <f>GETPIVOTDATA("Ingreso Total",$K$21,"Departamento","Santander")</f>
        <v>5335697.09</v>
      </c>
    </row>
    <row r="31" spans="1:15" x14ac:dyDescent="0.3">
      <c r="A31" s="5" t="s">
        <v>29</v>
      </c>
      <c r="B31" s="6">
        <v>7554489.25</v>
      </c>
      <c r="K31" s="5" t="s">
        <v>41</v>
      </c>
      <c r="L31" s="6">
        <v>6636270.4900000002</v>
      </c>
      <c r="N31" s="5" t="s">
        <v>41</v>
      </c>
      <c r="O31" s="6">
        <f>GETPIVOTDATA("Ingreso Total",$K$21,"Departamento","Valle del Cauca")</f>
        <v>6636270.4900000002</v>
      </c>
    </row>
    <row r="32" spans="1:15" x14ac:dyDescent="0.3">
      <c r="A32" s="5" t="s">
        <v>164</v>
      </c>
      <c r="B32" s="6">
        <v>7544931.830000001</v>
      </c>
      <c r="K32" s="5" t="s">
        <v>668</v>
      </c>
      <c r="L32" s="6">
        <v>54411867.149999999</v>
      </c>
    </row>
    <row r="33" spans="1:12" x14ac:dyDescent="0.3">
      <c r="A33" s="5" t="s">
        <v>39</v>
      </c>
      <c r="B33" s="6">
        <v>4596233.2300000004</v>
      </c>
    </row>
    <row r="34" spans="1:12" x14ac:dyDescent="0.3">
      <c r="A34" s="5" t="s">
        <v>668</v>
      </c>
      <c r="B34" s="6">
        <v>54411867.149999991</v>
      </c>
    </row>
    <row r="41" spans="1:12" x14ac:dyDescent="0.3">
      <c r="K41" s="4" t="s">
        <v>667</v>
      </c>
      <c r="L41" t="s">
        <v>681</v>
      </c>
    </row>
    <row r="42" spans="1:12" x14ac:dyDescent="0.3">
      <c r="K42" s="9" t="s">
        <v>683</v>
      </c>
      <c r="L42" s="6">
        <v>8973848.1200000029</v>
      </c>
    </row>
    <row r="43" spans="1:12" x14ac:dyDescent="0.3">
      <c r="K43" s="9" t="s">
        <v>684</v>
      </c>
      <c r="L43" s="6">
        <v>13481116.610000001</v>
      </c>
    </row>
    <row r="44" spans="1:12" x14ac:dyDescent="0.3">
      <c r="K44" s="9" t="s">
        <v>685</v>
      </c>
      <c r="L44" s="6">
        <v>17073569.069999997</v>
      </c>
    </row>
    <row r="45" spans="1:12" x14ac:dyDescent="0.3">
      <c r="K45" s="9" t="s">
        <v>686</v>
      </c>
      <c r="L45" s="6">
        <v>12321528.300000001</v>
      </c>
    </row>
    <row r="46" spans="1:12" x14ac:dyDescent="0.3">
      <c r="K46" s="9" t="s">
        <v>687</v>
      </c>
      <c r="L46" s="6">
        <v>2561805.0499999998</v>
      </c>
    </row>
    <row r="47" spans="1:12" x14ac:dyDescent="0.3">
      <c r="K47" s="7" t="s">
        <v>668</v>
      </c>
      <c r="L47" s="6">
        <v>54411867.149999991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AB1E-9E00-4073-9784-4D01C7D5102C}">
  <dimension ref="A1"/>
  <sheetViews>
    <sheetView tabSelected="1" zoomScale="85" zoomScaleNormal="85" workbookViewId="0">
      <selection activeCell="Q16" sqref="Q16"/>
    </sheetView>
  </sheetViews>
  <sheetFormatPr baseColWidth="10" defaultRowHeight="14.4" x14ac:dyDescent="0.3"/>
  <cols>
    <col min="1" max="16384" width="11.5546875" style="8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</vt:lpstr>
      <vt:lpstr>TablasDinamicas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HARBEY EMIR CELY MENDOZA</cp:lastModifiedBy>
  <dcterms:created xsi:type="dcterms:W3CDTF">2025-10-30T10:03:28Z</dcterms:created>
  <dcterms:modified xsi:type="dcterms:W3CDTF">2026-09-04T00:06:26Z</dcterms:modified>
</cp:coreProperties>
</file>